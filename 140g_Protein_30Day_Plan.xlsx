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Dashboard" sheetId="1" r:id="rId5"/>
    <sheet state="visible" name="📋 30-Day Plan" sheetId="2" r:id="rId6"/>
    <sheet state="visible" name="🛒 Shopping List" sheetId="3" r:id="rId7"/>
    <sheet state="visible" name="📊 Macros Reference" sheetId="4" r:id="rId8"/>
  </sheets>
  <definedNames/>
  <calcPr/>
</workbook>
</file>

<file path=xl/sharedStrings.xml><?xml version="1.0" encoding="utf-8"?>
<sst xmlns="http://schemas.openxmlformats.org/spreadsheetml/2006/main" count="561" uniqueCount="205">
  <si>
    <t>🏋️  140g PROTEIN — 30 DAY CHALLENGE</t>
  </si>
  <si>
    <t>Build muscle. Build discipline. Build the body you deserve.</t>
  </si>
  <si>
    <t>🎯 DAILY TARGET</t>
  </si>
  <si>
    <t>📅 DURATION</t>
  </si>
  <si>
    <t>🥤 SHAKES</t>
  </si>
  <si>
    <t>💪 MUSCLE GAIN</t>
  </si>
  <si>
    <t>"Every rep. Every meal. Every day. — That's how legends are made."</t>
  </si>
  <si>
    <t>~140g Protein</t>
  </si>
  <si>
    <t>30 Days</t>
  </si>
  <si>
    <t>1 per day</t>
  </si>
  <si>
    <t>+0.7–1.2 kg*</t>
  </si>
  <si>
    <t>📊  30-DAY PROGRESS TRACKER  —  Check off each day as you crush it!</t>
  </si>
  <si>
    <t>DAY 1
☐</t>
  </si>
  <si>
    <t>DAY 2
☐</t>
  </si>
  <si>
    <t>DAY 3
☐</t>
  </si>
  <si>
    <t>DAY 4
☐</t>
  </si>
  <si>
    <t>DAY 5
☐</t>
  </si>
  <si>
    <t>DAY 6
☐</t>
  </si>
  <si>
    <t>DAY 7
☐</t>
  </si>
  <si>
    <t>DAY 8
☐</t>
  </si>
  <si>
    <t>DAY 9
☐</t>
  </si>
  <si>
    <t>DAY 10
☐</t>
  </si>
  <si>
    <t>DAY 11
☐</t>
  </si>
  <si>
    <t>DAY 12
☐</t>
  </si>
  <si>
    <t>DAY 13
☐</t>
  </si>
  <si>
    <t>DAY 14
☐</t>
  </si>
  <si>
    <t>DAY 15
☐</t>
  </si>
  <si>
    <t>DAY 16
☐</t>
  </si>
  <si>
    <t>DAY 17
☐</t>
  </si>
  <si>
    <t>DAY 18
☐</t>
  </si>
  <si>
    <t>DAY 19
☐</t>
  </si>
  <si>
    <t>DAY 20
☐</t>
  </si>
  <si>
    <t>DAY 21
☐</t>
  </si>
  <si>
    <t>DAY 22
☐</t>
  </si>
  <si>
    <t>DAY 23
☐</t>
  </si>
  <si>
    <t>DAY 24
☐</t>
  </si>
  <si>
    <t>DAY 25
☐</t>
  </si>
  <si>
    <t>DAY 26
☐</t>
  </si>
  <si>
    <t>DAY 27
☐</t>
  </si>
  <si>
    <t>DAY 28
☐</t>
  </si>
  <si>
    <t>DAY 29
☐</t>
  </si>
  <si>
    <t>DAY 30
☐</t>
  </si>
  <si>
    <t>ℹ️  Go to the '📋 30-Day Plan' sheet to check off each meal daily.</t>
  </si>
  <si>
    <t>🔥  DAILY MOTIVATION — Keep these close.</t>
  </si>
  <si>
    <t xml:space="preserve">   "Every rep. Every meal. Every day. — That's how legends are made."</t>
  </si>
  <si>
    <t xml:space="preserve">   "You didn't come this far to only come this far."</t>
  </si>
  <si>
    <t xml:space="preserve">   "Your body hears everything your mind says. Feed it right."</t>
  </si>
  <si>
    <t xml:space="preserve">   "Discipline is just choosing between what you want now and what you want most."</t>
  </si>
  <si>
    <t xml:space="preserve">   "The only bad workout is the one that didn't happen."</t>
  </si>
  <si>
    <t xml:space="preserve">   "Eat to perform. Rest to recover. Train to grow."</t>
  </si>
  <si>
    <t xml:space="preserve">   "Small daily improvements are the key to staggering long-term results."</t>
  </si>
  <si>
    <t xml:space="preserve">   "It never gets easier — you just get stronger."</t>
  </si>
  <si>
    <t xml:space="preserve">   "140g of protein a day keeps weakness away."</t>
  </si>
  <si>
    <t xml:space="preserve">   "Your future self is watching you right now through memories."</t>
  </si>
  <si>
    <t>🏆  MILESTONES — Celebrate every win!</t>
  </si>
  <si>
    <t>🥉 Day 7 Complete</t>
  </si>
  <si>
    <t>WEEK 1 DONE! Your body is already adapting. Stronger every day.</t>
  </si>
  <si>
    <t>🥈 Day 14 Complete</t>
  </si>
  <si>
    <t>HALFWAY! Most people quit before this. You're not most people.</t>
  </si>
  <si>
    <t>🎖️ Day 21 Complete</t>
  </si>
  <si>
    <t>3 WEEKS IN! Habits are forming. Your muscles are growing.</t>
  </si>
  <si>
    <t>🏆 Day 30 Complete</t>
  </si>
  <si>
    <t>YOU DID IT! 30 days. 4,200g of protein. Pure commitment. Champion.</t>
  </si>
  <si>
    <t>* Muscle gain estimate applies with consistent resistance training (weights / bodyweight). Without exercise, protein alone does not build muscle.</t>
  </si>
  <si>
    <t>📋  30-DAY PROTEIN PLAN  —  140g / day  |  Tick ✓ each meal as you go!</t>
  </si>
  <si>
    <t>✓</t>
  </si>
  <si>
    <t>MEAL / FOOD</t>
  </si>
  <si>
    <t>PROTEIN (g)</t>
  </si>
  <si>
    <t>TOTAL</t>
  </si>
  <si>
    <t xml:space="preserve">  DAY 1  ·  Wed May 06  ·  🎯 TARGET: ~140g</t>
  </si>
  <si>
    <t>☐</t>
  </si>
  <si>
    <t xml:space="preserve">  🥤 Protein Shake</t>
  </si>
  <si>
    <t xml:space="preserve">  200g Baked Chicken Breast</t>
  </si>
  <si>
    <t xml:space="preserve">  3 Boiled Eggs</t>
  </si>
  <si>
    <t xml:space="preserve">  200g Greek Yogurt</t>
  </si>
  <si>
    <t xml:space="preserve">  150g Cottage Cheese</t>
  </si>
  <si>
    <t xml:space="preserve">  🔢  DAILY PROTEIN TOTAL</t>
  </si>
  <si>
    <t>g</t>
  </si>
  <si>
    <t xml:space="preserve">  DAY 2  ·  Thu May 07  ·  🎯 TARGET: ~140g</t>
  </si>
  <si>
    <t xml:space="preserve">  4 Boiled Eggs</t>
  </si>
  <si>
    <t xml:space="preserve">  200g Cottage Cheese</t>
  </si>
  <si>
    <t xml:space="preserve">  1 String Cheese</t>
  </si>
  <si>
    <t xml:space="preserve">  DAY 3  ·  Fri May 08  ·  🎯 TARGET: ~140g</t>
  </si>
  <si>
    <t xml:space="preserve">  200g Canned Tuna</t>
  </si>
  <si>
    <t xml:space="preserve">  DAY 4  ·  Sat May 09  ·  🎯 TARGET: ~140g</t>
  </si>
  <si>
    <t xml:space="preserve">  DAY 5  ·  Sun May 10  ·  🎯 TARGET: ~140g</t>
  </si>
  <si>
    <t xml:space="preserve">  150g Canned Salmon</t>
  </si>
  <si>
    <t xml:space="preserve">  2 Boiled Eggs</t>
  </si>
  <si>
    <t xml:space="preserve">  100g Greek Yogurt</t>
  </si>
  <si>
    <t xml:space="preserve">  DAY 6  ·  Mon May 11  ·  🎯 TARGET: ~140g</t>
  </si>
  <si>
    <t xml:space="preserve">  200g Ground Beef 90% Lean</t>
  </si>
  <si>
    <t xml:space="preserve">  DAY 7  ·  Tue May 12  ·  🎯 TARGET: ~140g</t>
  </si>
  <si>
    <t xml:space="preserve">  100g Cottage Cheese</t>
  </si>
  <si>
    <t xml:space="preserve">  DAY 8  ·  Wed May 13  ·  🎯 TARGET: ~140g</t>
  </si>
  <si>
    <t xml:space="preserve">  DAY 9  ·  Thu May 14  ·  🎯 TARGET: ~140g</t>
  </si>
  <si>
    <t xml:space="preserve">  150g Greek Yogurt</t>
  </si>
  <si>
    <t xml:space="preserve">  2 String Cheese</t>
  </si>
  <si>
    <t xml:space="preserve">  DAY 10  ·  Fri May 15  ·  🎯 TARGET: ~140g</t>
  </si>
  <si>
    <t xml:space="preserve">  DAY 11  ·  Sat May 16  ·  🎯 TARGET: ~140g</t>
  </si>
  <si>
    <t xml:space="preserve">  120g Canned Sardines</t>
  </si>
  <si>
    <t xml:space="preserve">  DAY 12  ·  Sun May 17  ·  🎯 TARGET: ~140g</t>
  </si>
  <si>
    <t xml:space="preserve">  DAY 13  ·  Mon May 18  ·  🎯 TARGET: ~140g</t>
  </si>
  <si>
    <t xml:space="preserve">  150g Baked Chicken Breast</t>
  </si>
  <si>
    <t xml:space="preserve">  DAY 14  ·  Tue May 19  ·  🎯 TARGET: ~140g</t>
  </si>
  <si>
    <t xml:space="preserve">  DAY 15  ·  Wed May 20  ·  🎯 TARGET: ~140g</t>
  </si>
  <si>
    <t xml:space="preserve">  DAY 16  ·  Thu May 21  ·  🎯 TARGET: ~140g</t>
  </si>
  <si>
    <t xml:space="preserve">  30g Beef Jerky</t>
  </si>
  <si>
    <t xml:space="preserve">  DAY 17  ·  Fri May 22  ·  🎯 TARGET: ~140g</t>
  </si>
  <si>
    <t xml:space="preserve">  DAY 18  ·  Sat May 23  ·  🎯 TARGET: ~140g</t>
  </si>
  <si>
    <t xml:space="preserve">  200g Cooked Shrimp</t>
  </si>
  <si>
    <t xml:space="preserve">  DAY 19  ·  Sun May 24  ·  🎯 TARGET: ~140g</t>
  </si>
  <si>
    <t xml:space="preserve">  DAY 20  ·  Mon May 25  ·  🎯 TARGET: ~140g</t>
  </si>
  <si>
    <t xml:space="preserve">  5 Boiled Eggs</t>
  </si>
  <si>
    <t xml:space="preserve">  DAY 21  ·  Tue May 26  ·  🎯 TARGET: ~140g</t>
  </si>
  <si>
    <t xml:space="preserve">  DAY 22  ·  Wed May 27  ·  🎯 TARGET: ~140g</t>
  </si>
  <si>
    <t xml:space="preserve">  DAY 23  ·  Thu May 28  ·  🎯 TARGET: ~140g</t>
  </si>
  <si>
    <t xml:space="preserve">  DAY 24  ·  Fri May 29  ·  🎯 TARGET: ~140g</t>
  </si>
  <si>
    <t xml:space="preserve">  DAY 25  ·  Sat May 30  ·  🎯 TARGET: ~140g</t>
  </si>
  <si>
    <t xml:space="preserve">  DAY 26  ·  Sun May 31  ·  🎯 TARGET: ~140g</t>
  </si>
  <si>
    <t xml:space="preserve">  DAY 27  ·  Mon Jun 01  ·  🎯 TARGET: ~140g</t>
  </si>
  <si>
    <t xml:space="preserve">  DAY 28  ·  Tue Jun 02  ·  🎯 TARGET: ~140g</t>
  </si>
  <si>
    <t xml:space="preserve">  DAY 29  ·  Wed Jun 03  ·  🎯 TARGET: ~140g</t>
  </si>
  <si>
    <t xml:space="preserve">  DAY 30  ·  Thu Jun 04  ·  🎯 TARGET: ~140g</t>
  </si>
  <si>
    <t>🛒  MASTER SHOPPING LIST — Full 30-Day Supply</t>
  </si>
  <si>
    <t xml:space="preserve">  💡 Tip: Buy in bulk where possible — it's cheaper and saves trips.   Click ✓ in column B as you buy each item.</t>
  </si>
  <si>
    <t>ITEM</t>
  </si>
  <si>
    <t>QTY FOR 30 DAYS</t>
  </si>
  <si>
    <t>UNIT</t>
  </si>
  <si>
    <t>SHOPPING TIP</t>
  </si>
  <si>
    <t xml:space="preserve">  ▸  PROTEIN SHAKES</t>
  </si>
  <si>
    <t xml:space="preserve">  🥤 Protein Shake (powder)</t>
  </si>
  <si>
    <t>30 servings</t>
  </si>
  <si>
    <t>servings</t>
  </si>
  <si>
    <t xml:space="preserve">  Buy 2 large tubs (45 servings ea.) or 3 medium</t>
  </si>
  <si>
    <t xml:space="preserve">  ▸  MEATS</t>
  </si>
  <si>
    <t xml:space="preserve">  🍗 Chicken Breast</t>
  </si>
  <si>
    <t>~4.2 kg</t>
  </si>
  <si>
    <t>kg</t>
  </si>
  <si>
    <t xml:space="preserve">  Buy frozen in bulk — thaw 2 days ahead in fridge</t>
  </si>
  <si>
    <t xml:space="preserve">  🥩 Ground Beef (90% lean)</t>
  </si>
  <si>
    <t>~1.4 kg</t>
  </si>
  <si>
    <t xml:space="preserve">  Can sub with turkey mince for lower fat</t>
  </si>
  <si>
    <t xml:space="preserve">  🦐 Cooked Shrimp (frozen)</t>
  </si>
  <si>
    <t>400g</t>
  </si>
  <si>
    <t>grams</t>
  </si>
  <si>
    <t xml:space="preserve">  Frozen is fine — thaw overnight</t>
  </si>
  <si>
    <t xml:space="preserve">  ▸  FISH</t>
  </si>
  <si>
    <t xml:space="preserve">  🐟 Canned Tuna (200g)</t>
  </si>
  <si>
    <t>8 cans</t>
  </si>
  <si>
    <t>cans</t>
  </si>
  <si>
    <t xml:space="preserve">  Buy a 24-pack online — much cheaper per can</t>
  </si>
  <si>
    <t xml:space="preserve">  🐠 Canned Salmon (150g)</t>
  </si>
  <si>
    <t>3 cans</t>
  </si>
  <si>
    <t xml:space="preserve">  Wild-caught is best but any works</t>
  </si>
  <si>
    <t xml:space="preserve">  🐡 Canned Sardines (120g)</t>
  </si>
  <si>
    <t>2 cans</t>
  </si>
  <si>
    <t xml:space="preserve">  In water or tomato sauce, both fine</t>
  </si>
  <si>
    <t xml:space="preserve">  ▸  DAIRY</t>
  </si>
  <si>
    <t xml:space="preserve">  🥚 Eggs</t>
  </si>
  <si>
    <t>78 eggs (~7 doz)</t>
  </si>
  <si>
    <t>eggs</t>
  </si>
  <si>
    <t xml:space="preserve">  Buy 3 trays of 30 — most economical</t>
  </si>
  <si>
    <t xml:space="preserve">  🫙 Greek Yogurt (plain)</t>
  </si>
  <si>
    <t>~3.2 kg</t>
  </si>
  <si>
    <t xml:space="preserve">  Buy 4× 1kg tubs — plain full fat or 0%</t>
  </si>
  <si>
    <t xml:space="preserve">  🫙 Cottage Cheese</t>
  </si>
  <si>
    <t>~3.3 kg</t>
  </si>
  <si>
    <t xml:space="preserve">  Buy in 500g containers — 7 containers</t>
  </si>
  <si>
    <t xml:space="preserve">  🧀 String Cheese</t>
  </si>
  <si>
    <t>9 sticks</t>
  </si>
  <si>
    <t>sticks</t>
  </si>
  <si>
    <t xml:space="preserve">  Usually in 12-packs — grab one pack</t>
  </si>
  <si>
    <t xml:space="preserve">  ▸  SNACKS</t>
  </si>
  <si>
    <t xml:space="preserve">  🥩 Beef Jerky (low sugar)</t>
  </si>
  <si>
    <t>60g</t>
  </si>
  <si>
    <t xml:space="preserve">  2 small snack packs — check sodium levels</t>
  </si>
  <si>
    <t xml:space="preserve">  ⚡ PRO MOVE: Buy chicken, beef &amp; shrimp weekly (not all 30 days at once) — rotate in fridge/freezer.</t>
  </si>
  <si>
    <t>📊  PROTEIN CHEAT SHEET — High Protein, Low Volume Foods</t>
  </si>
  <si>
    <t>FOOD (per 100g unless noted)</t>
  </si>
  <si>
    <t>CALORIES</t>
  </si>
  <si>
    <t>FAT (g)</t>
  </si>
  <si>
    <t>CARBS (g)</t>
  </si>
  <si>
    <t xml:space="preserve">  🍗 Chicken Breast (cooked, 100g)</t>
  </si>
  <si>
    <t xml:space="preserve">  🥩 Ground Beef 90% lean (100g)</t>
  </si>
  <si>
    <t xml:space="preserve">  🦐 Cooked Shrimp (100g)</t>
  </si>
  <si>
    <t xml:space="preserve">  🐟 Canned Tuna in water (100g)</t>
  </si>
  <si>
    <t xml:space="preserve">  🐠 Canned Salmon (100g)</t>
  </si>
  <si>
    <t xml:space="preserve">  🐡 Sardines (100g)</t>
  </si>
  <si>
    <t xml:space="preserve">  🥚 Egg (1 whole egg)</t>
  </si>
  <si>
    <t xml:space="preserve">  🫙 Greek Yogurt plain (100g)</t>
  </si>
  <si>
    <t xml:space="preserve">  🫙 Cottage Cheese (100g)</t>
  </si>
  <si>
    <t xml:space="preserve">  🧀 String Cheese (1 stick ~28g)</t>
  </si>
  <si>
    <t xml:space="preserve">  🥩 Beef Jerky (30g)</t>
  </si>
  <si>
    <t xml:space="preserve">  🥤 Protein Shake (1 scoop ~30g)</t>
  </si>
  <si>
    <t>💪  EXPECTED MUSCLE GAIN — With consistent resistance training</t>
  </si>
  <si>
    <t xml:space="preserve">  🟢 Beginner (&lt; 1 yr training)</t>
  </si>
  <si>
    <t>0.7 – 1.2 kg</t>
  </si>
  <si>
    <t xml:space="preserve">  Best results — your muscles are fresh to stimulus</t>
  </si>
  <si>
    <t xml:space="preserve">  🟡 Intermediate (1–3 yrs)</t>
  </si>
  <si>
    <t>0.3 – 0.6 kg</t>
  </si>
  <si>
    <t xml:space="preserve">  Solid gains if training hard and consistently</t>
  </si>
  <si>
    <t xml:space="preserve">  🔴 Advanced (3+ yrs)</t>
  </si>
  <si>
    <t>0.1 – 0.3 kg</t>
  </si>
  <si>
    <t xml:space="preserve">  Slower gains but still meaningful progress</t>
  </si>
  <si>
    <t xml:space="preserve">  ⚠️  IMPORTANT: Diet alone does NOT build muscle. You must lift weights or do resistance training. Also: 100g–140g protein is most effective when you are around 70–90kg bodyweight. If you are heavier, consider bumping protein to 160–180g/day.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</si>
</sst>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1.0"/>
      <color theme="1"/>
      <name val="Calibri"/>
      <scheme val="minor"/>
    </font>
    <font>
      <b/>
      <sz val="22.0"/>
      <color rgb="FFFFB703"/>
      <name val="Arial"/>
    </font>
    <font/>
    <font>
      <i/>
      <sz val="13.0"/>
      <color rgb="FFFFFFFF"/>
      <name val="Arial"/>
    </font>
    <font>
      <b/>
      <sz val="9.0"/>
      <color rgb="FFFFB703"/>
      <name val="Arial"/>
    </font>
    <font>
      <b/>
      <sz val="9.0"/>
      <color rgb="FF95D5B2"/>
      <name val="Arial"/>
    </font>
    <font>
      <b/>
      <sz val="9.0"/>
      <color rgb="FF0D1B2A"/>
      <name val="Arial"/>
    </font>
    <font>
      <i/>
      <sz val="10.0"/>
      <color rgb="FFFFB703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b/>
      <sz val="10.0"/>
      <color rgb="FF1D4ED8"/>
      <name val="Arial"/>
    </font>
    <font>
      <b/>
      <sz val="10.0"/>
      <color rgb="FF7C3AED"/>
      <name val="Arial"/>
    </font>
    <font>
      <b/>
      <sz val="10.0"/>
      <color rgb="FF15803D"/>
      <name val="Arial"/>
    </font>
    <font>
      <b/>
      <sz val="10.0"/>
      <color rgb="FFB45309"/>
      <name val="Arial"/>
    </font>
    <font>
      <i/>
      <sz val="10.0"/>
      <color rgb="FF37474F"/>
      <name val="Arial"/>
    </font>
    <font>
      <b/>
      <sz val="12.0"/>
      <color rgb="FFFFB703"/>
      <name val="Arial"/>
    </font>
    <font>
      <b/>
      <sz val="11.0"/>
      <color rgb="FF1D4ED8"/>
      <name val="Arial"/>
    </font>
    <font>
      <b/>
      <sz val="11.0"/>
      <color rgb="FF7C3AED"/>
      <name val="Arial"/>
    </font>
    <font>
      <b/>
      <sz val="11.0"/>
      <color rgb="FF15803D"/>
      <name val="Arial"/>
    </font>
    <font>
      <b/>
      <sz val="11.0"/>
      <color rgb="FFB45309"/>
      <name val="Arial"/>
    </font>
    <font>
      <i/>
      <sz val="9.0"/>
      <color rgb="FF888888"/>
      <name val="Arial"/>
    </font>
    <font>
      <b/>
      <sz val="14.0"/>
      <color rgb="FFFFB703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2.0"/>
      <color rgb="FF1D4ED8"/>
      <name val="Arial"/>
    </font>
    <font>
      <sz val="10.0"/>
      <color rgb="FF37474F"/>
      <name val="Arial"/>
    </font>
    <font>
      <b/>
      <sz val="10.0"/>
      <color rgb="FF1B4332"/>
      <name val="Arial"/>
    </font>
    <font>
      <b/>
      <sz val="12.0"/>
      <color rgb="FF7C3AED"/>
      <name val="Arial"/>
    </font>
    <font>
      <b/>
      <sz val="12.0"/>
      <color rgb="FF15803D"/>
      <name val="Arial"/>
    </font>
    <font>
      <b/>
      <sz val="12.0"/>
      <color rgb="FFB45309"/>
      <name val="Arial"/>
    </font>
    <font>
      <b/>
      <sz val="16.0"/>
      <color rgb="FFFFFFFF"/>
      <name val="Arial"/>
    </font>
    <font>
      <i/>
      <sz val="10.0"/>
      <color rgb="FFE85D04"/>
      <name val="Arial"/>
    </font>
    <font>
      <b/>
      <sz val="12.0"/>
      <color rgb="FFE85D04"/>
      <name val="Arial"/>
    </font>
    <font>
      <b/>
      <sz val="10.0"/>
      <color rgb="FFE85D04"/>
      <name val="Arial"/>
    </font>
    <font>
      <b/>
      <sz val="10.0"/>
      <color rgb="FF92400E"/>
      <name val="Arial"/>
    </font>
    <font>
      <b/>
      <sz val="15.0"/>
      <color rgb="FFFFFFFF"/>
      <name val="Arial"/>
    </font>
    <font>
      <b/>
      <sz val="13.0"/>
      <color rgb="FFFFFFFF"/>
      <name val="Arial"/>
    </font>
    <font>
      <i/>
      <sz val="9.0"/>
      <color rgb="FF92400E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E85D04"/>
        <bgColor rgb="FFE85D04"/>
      </patternFill>
    </fill>
    <fill>
      <patternFill patternType="solid">
        <fgColor rgb="FF1B4332"/>
        <bgColor rgb="FF1B4332"/>
      </patternFill>
    </fill>
    <fill>
      <patternFill patternType="solid">
        <fgColor rgb="FF7C3AED"/>
        <bgColor rgb="FF7C3AED"/>
      </patternFill>
    </fill>
    <fill>
      <patternFill patternType="solid">
        <fgColor rgb="FF1A1A2E"/>
        <bgColor rgb="FF1A1A2E"/>
      </patternFill>
    </fill>
    <fill>
      <patternFill patternType="solid">
        <fgColor rgb="FF37474F"/>
        <bgColor rgb="FF37474F"/>
      </patternFill>
    </fill>
    <fill>
      <patternFill patternType="solid">
        <fgColor rgb="FFDBEAFE"/>
        <bgColor rgb="FFDBEAFE"/>
      </patternFill>
    </fill>
    <fill>
      <patternFill patternType="solid">
        <fgColor rgb="FFF3E8FF"/>
        <bgColor rgb="FFF3E8FF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F1F3F4"/>
        <bgColor rgb="FFF1F3F4"/>
      </patternFill>
    </fill>
    <fill>
      <patternFill patternType="solid">
        <fgColor rgb="FFFFFFFF"/>
        <bgColor rgb="FFFFFFFF"/>
      </patternFill>
    </fill>
    <fill>
      <patternFill patternType="solid">
        <fgColor rgb="FF1D4ED8"/>
        <bgColor rgb="FF1D4ED8"/>
      </patternFill>
    </fill>
    <fill>
      <patternFill patternType="solid">
        <fgColor rgb="FF15803D"/>
        <bgColor rgb="FF15803D"/>
      </patternFill>
    </fill>
    <fill>
      <patternFill patternType="solid">
        <fgColor rgb="FFB45309"/>
        <bgColor rgb="FFB45309"/>
      </patternFill>
    </fill>
    <fill>
      <patternFill patternType="solid">
        <fgColor rgb="FFFFF3E0"/>
        <bgColor rgb="FFFFF3E0"/>
      </patternFill>
    </fill>
    <fill>
      <patternFill patternType="solid">
        <fgColor rgb="FFF5F3FF"/>
        <bgColor rgb="FFF5F3FF"/>
      </patternFill>
    </fill>
    <fill>
      <patternFill patternType="solid">
        <fgColor rgb="FFFFFBEB"/>
        <bgColor rgb="FFFFFBEB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4" fillId="5" fontId="4" numFmtId="0" xfId="0" applyAlignment="1" applyBorder="1" applyFill="1" applyFon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5" fillId="6" fontId="7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4" fillId="2" fontId="8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center" shrinkToFit="0" vertical="center" wrapText="0"/>
    </xf>
    <xf borderId="4" fillId="5" fontId="8" numFmtId="0" xfId="0" applyAlignment="1" applyBorder="1" applyFont="1">
      <alignment horizontal="center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1" fillId="7" fontId="9" numFmtId="0" xfId="0" applyAlignment="1" applyBorder="1" applyFill="1" applyFont="1">
      <alignment horizontal="center" shrinkToFit="0" vertical="center" wrapText="0"/>
    </xf>
    <xf borderId="9" fillId="8" fontId="10" numFmtId="0" xfId="0" applyAlignment="1" applyBorder="1" applyFill="1" applyFont="1">
      <alignment horizontal="center" shrinkToFit="0" vertical="center" wrapText="1"/>
    </xf>
    <xf borderId="9" fillId="9" fontId="11" numFmtId="0" xfId="0" applyAlignment="1" applyBorder="1" applyFill="1" applyFont="1">
      <alignment horizontal="center" shrinkToFit="0" vertical="center" wrapText="1"/>
    </xf>
    <xf borderId="9" fillId="10" fontId="12" numFmtId="0" xfId="0" applyAlignment="1" applyBorder="1" applyFill="1" applyFont="1">
      <alignment horizontal="center" shrinkToFit="0" vertical="center" wrapText="1"/>
    </xf>
    <xf borderId="9" fillId="11" fontId="13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0"/>
    </xf>
    <xf borderId="1" fillId="2" fontId="15" numFmtId="0" xfId="0" applyAlignment="1" applyBorder="1" applyFont="1">
      <alignment horizontal="center" shrinkToFit="0" vertical="center" wrapText="0"/>
    </xf>
    <xf borderId="10" fillId="12" fontId="14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10" fillId="13" fontId="14" numFmtId="0" xfId="0" applyAlignment="1" applyBorder="1" applyFill="1" applyFont="1">
      <alignment horizontal="left" shrinkToFit="0" vertical="center" wrapText="1"/>
    </xf>
    <xf borderId="4" fillId="8" fontId="16" numFmtId="0" xfId="0" applyAlignment="1" applyBorder="1" applyFont="1">
      <alignment horizontal="center" shrinkToFit="0" vertical="center" wrapText="0"/>
    </xf>
    <xf borderId="1" fillId="8" fontId="14" numFmtId="0" xfId="0" applyAlignment="1" applyBorder="1" applyFont="1">
      <alignment horizontal="left" shrinkToFit="0" vertical="center" wrapText="1"/>
    </xf>
    <xf borderId="4" fillId="9" fontId="17" numFmtId="0" xfId="0" applyAlignment="1" applyBorder="1" applyFont="1">
      <alignment horizontal="center" shrinkToFit="0" vertical="center" wrapText="0"/>
    </xf>
    <xf borderId="1" fillId="9" fontId="14" numFmtId="0" xfId="0" applyAlignment="1" applyBorder="1" applyFont="1">
      <alignment horizontal="left" shrinkToFit="0" vertical="center" wrapText="1"/>
    </xf>
    <xf borderId="4" fillId="10" fontId="18" numFmtId="0" xfId="0" applyAlignment="1" applyBorder="1" applyFont="1">
      <alignment horizontal="center" shrinkToFit="0" vertical="center" wrapText="0"/>
    </xf>
    <xf borderId="1" fillId="10" fontId="14" numFmtId="0" xfId="0" applyAlignment="1" applyBorder="1" applyFont="1">
      <alignment horizontal="left" shrinkToFit="0" vertical="center" wrapText="1"/>
    </xf>
    <xf borderId="4" fillId="11" fontId="19" numFmtId="0" xfId="0" applyAlignment="1" applyBorder="1" applyFont="1">
      <alignment horizontal="center" shrinkToFit="0" vertical="center" wrapText="0"/>
    </xf>
    <xf borderId="1" fillId="11" fontId="14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0"/>
    </xf>
    <xf borderId="4" fillId="7" fontId="22" numFmtId="0" xfId="0" applyAlignment="1" applyBorder="1" applyFont="1">
      <alignment horizontal="center" shrinkToFit="0" vertical="center" wrapText="0"/>
    </xf>
    <xf borderId="1" fillId="14" fontId="9" numFmtId="0" xfId="0" applyAlignment="1" applyBorder="1" applyFill="1" applyFont="1">
      <alignment horizontal="left" shrinkToFit="0" vertical="center" wrapText="0"/>
    </xf>
    <xf borderId="4" fillId="8" fontId="23" numFmtId="0" xfId="0" applyAlignment="1" applyBorder="1" applyFont="1">
      <alignment shrinkToFit="0" vertical="bottom" wrapText="0"/>
    </xf>
    <xf borderId="9" fillId="13" fontId="24" numFmtId="0" xfId="0" applyAlignment="1" applyBorder="1" applyFont="1">
      <alignment horizontal="center" shrinkToFit="0" vertical="center" wrapText="0"/>
    </xf>
    <xf borderId="9" fillId="13" fontId="25" numFmtId="0" xfId="0" applyAlignment="1" applyBorder="1" applyFont="1">
      <alignment horizontal="left" shrinkToFit="0" vertical="center" wrapText="0"/>
    </xf>
    <xf borderId="9" fillId="13" fontId="26" numFmtId="0" xfId="0" applyAlignment="1" applyBorder="1" applyFont="1">
      <alignment horizontal="center" shrinkToFit="0" vertical="center" wrapText="0"/>
    </xf>
    <xf borderId="4" fillId="13" fontId="23" numFmtId="0" xfId="0" applyAlignment="1" applyBorder="1" applyFont="1">
      <alignment shrinkToFit="0" vertical="bottom" wrapText="0"/>
    </xf>
    <xf borderId="10" fillId="8" fontId="10" numFmtId="0" xfId="0" applyAlignment="1" applyBorder="1" applyFont="1">
      <alignment horizontal="left" shrinkToFit="0" vertical="center" wrapText="0"/>
    </xf>
    <xf borderId="9" fillId="14" fontId="9" numFmtId="0" xfId="0" applyAlignment="1" applyBorder="1" applyFont="1">
      <alignment horizontal="center" shrinkToFit="0" vertical="center" wrapText="0"/>
    </xf>
    <xf borderId="4" fillId="14" fontId="9" numFmtId="0" xfId="0" applyAlignment="1" applyBorder="1" applyFont="1">
      <alignment horizontal="center" shrinkToFit="0" vertical="center" wrapText="0"/>
    </xf>
    <xf borderId="4" fillId="12" fontId="23" numFmtId="0" xfId="0" applyAlignment="1" applyBorder="1" applyFont="1">
      <alignment shrinkToFit="0" vertical="bottom" wrapText="0"/>
    </xf>
    <xf borderId="1" fillId="5" fontId="9" numFmtId="0" xfId="0" applyAlignment="1" applyBorder="1" applyFont="1">
      <alignment horizontal="left" shrinkToFit="0" vertical="center" wrapText="0"/>
    </xf>
    <xf borderId="4" fillId="9" fontId="23" numFmtId="0" xfId="0" applyAlignment="1" applyBorder="1" applyFont="1">
      <alignment shrinkToFit="0" vertical="bottom" wrapText="0"/>
    </xf>
    <xf borderId="9" fillId="13" fontId="27" numFmtId="0" xfId="0" applyAlignment="1" applyBorder="1" applyFont="1">
      <alignment horizontal="center" shrinkToFit="0" vertical="center" wrapText="0"/>
    </xf>
    <xf borderId="10" fillId="9" fontId="11" numFmtId="0" xfId="0" applyAlignment="1" applyBorder="1" applyFont="1">
      <alignment horizontal="left" shrinkToFit="0" vertical="center" wrapText="0"/>
    </xf>
    <xf borderId="9" fillId="5" fontId="9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1" fillId="15" fontId="9" numFmtId="0" xfId="0" applyAlignment="1" applyBorder="1" applyFill="1" applyFont="1">
      <alignment horizontal="left" shrinkToFit="0" vertical="center" wrapText="0"/>
    </xf>
    <xf borderId="4" fillId="10" fontId="23" numFmtId="0" xfId="0" applyAlignment="1" applyBorder="1" applyFont="1">
      <alignment shrinkToFit="0" vertical="bottom" wrapText="0"/>
    </xf>
    <xf borderId="9" fillId="13" fontId="28" numFmtId="0" xfId="0" applyAlignment="1" applyBorder="1" applyFont="1">
      <alignment horizontal="center" shrinkToFit="0" vertical="center" wrapText="0"/>
    </xf>
    <xf borderId="10" fillId="10" fontId="12" numFmtId="0" xfId="0" applyAlignment="1" applyBorder="1" applyFont="1">
      <alignment horizontal="left" shrinkToFit="0" vertical="center" wrapText="0"/>
    </xf>
    <xf borderId="9" fillId="15" fontId="9" numFmtId="0" xfId="0" applyAlignment="1" applyBorder="1" applyFont="1">
      <alignment horizontal="center" shrinkToFit="0" vertical="center" wrapText="0"/>
    </xf>
    <xf borderId="4" fillId="15" fontId="9" numFmtId="0" xfId="0" applyAlignment="1" applyBorder="1" applyFont="1">
      <alignment horizontal="center" shrinkToFit="0" vertical="center" wrapText="0"/>
    </xf>
    <xf borderId="1" fillId="16" fontId="9" numFmtId="0" xfId="0" applyAlignment="1" applyBorder="1" applyFill="1" applyFont="1">
      <alignment horizontal="left" shrinkToFit="0" vertical="center" wrapText="0"/>
    </xf>
    <xf borderId="4" fillId="11" fontId="23" numFmtId="0" xfId="0" applyAlignment="1" applyBorder="1" applyFont="1">
      <alignment shrinkToFit="0" vertical="bottom" wrapText="0"/>
    </xf>
    <xf borderId="9" fillId="13" fontId="29" numFmtId="0" xfId="0" applyAlignment="1" applyBorder="1" applyFont="1">
      <alignment horizontal="center" shrinkToFit="0" vertical="center" wrapText="0"/>
    </xf>
    <xf borderId="10" fillId="11" fontId="13" numFmtId="0" xfId="0" applyAlignment="1" applyBorder="1" applyFont="1">
      <alignment horizontal="left" shrinkToFit="0" vertical="center" wrapText="0"/>
    </xf>
    <xf borderId="9" fillId="16" fontId="9" numFmtId="0" xfId="0" applyAlignment="1" applyBorder="1" applyFont="1">
      <alignment horizontal="center" shrinkToFit="0" vertical="center" wrapText="0"/>
    </xf>
    <xf borderId="4" fillId="16" fontId="9" numFmtId="0" xfId="0" applyAlignment="1" applyBorder="1" applyFont="1">
      <alignment horizontal="center" shrinkToFit="0" vertical="center" wrapText="0"/>
    </xf>
    <xf borderId="1" fillId="3" fontId="30" numFmtId="0" xfId="0" applyAlignment="1" applyBorder="1" applyFont="1">
      <alignment horizontal="center" shrinkToFit="0" vertical="center" wrapText="0"/>
    </xf>
    <xf borderId="1" fillId="17" fontId="31" numFmtId="0" xfId="0" applyAlignment="1" applyBorder="1" applyFill="1" applyFont="1">
      <alignment horizontal="left" shrinkToFit="0" vertical="center" wrapText="0"/>
    </xf>
    <xf borderId="10" fillId="18" fontId="11" numFmtId="0" xfId="0" applyAlignment="1" applyBorder="1" applyFill="1" applyFont="1">
      <alignment horizontal="left" shrinkToFit="0" vertical="center" wrapText="0"/>
    </xf>
    <xf borderId="9" fillId="13" fontId="32" numFmtId="0" xfId="0" applyAlignment="1" applyBorder="1" applyFont="1">
      <alignment horizontal="center" shrinkToFit="0" vertical="center" wrapText="0"/>
    </xf>
    <xf borderId="9" fillId="12" fontId="25" numFmtId="0" xfId="0" applyAlignment="1" applyBorder="1" applyFont="1">
      <alignment horizontal="left" shrinkToFit="0" vertical="center" wrapText="1"/>
    </xf>
    <xf borderId="9" fillId="12" fontId="25" numFmtId="0" xfId="0" applyAlignment="1" applyBorder="1" applyFont="1">
      <alignment horizontal="center" shrinkToFit="0" vertical="center" wrapText="1"/>
    </xf>
    <xf borderId="9" fillId="13" fontId="25" numFmtId="0" xfId="0" applyAlignment="1" applyBorder="1" applyFont="1">
      <alignment horizontal="left" shrinkToFit="0" vertical="center" wrapText="1"/>
    </xf>
    <xf borderId="9" fillId="13" fontId="25" numFmtId="0" xfId="0" applyAlignment="1" applyBorder="1" applyFont="1">
      <alignment horizontal="center" shrinkToFit="0" vertical="center" wrapText="1"/>
    </xf>
    <xf borderId="10" fillId="17" fontId="33" numFmtId="0" xfId="0" applyAlignment="1" applyBorder="1" applyFont="1">
      <alignment horizontal="left" shrinkToFit="0" vertical="center" wrapText="0"/>
    </xf>
    <xf borderId="10" fillId="19" fontId="34" numFmtId="0" xfId="0" applyAlignment="1" applyBorder="1" applyFill="1" applyFont="1">
      <alignment horizontal="left" shrinkToFit="0" vertical="center" wrapText="1"/>
    </xf>
    <xf borderId="1" fillId="5" fontId="35" numFmtId="0" xfId="0" applyAlignment="1" applyBorder="1" applyFont="1">
      <alignment horizontal="center" shrinkToFit="0" vertical="center" wrapText="0"/>
    </xf>
    <xf borderId="9" fillId="13" fontId="25" numFmtId="0" xfId="0" applyAlignment="1" applyBorder="1" applyFont="1">
      <alignment horizontal="center" shrinkToFit="0" vertical="center" wrapText="0"/>
    </xf>
    <xf borderId="9" fillId="12" fontId="25" numFmtId="0" xfId="0" applyAlignment="1" applyBorder="1" applyFont="1">
      <alignment horizontal="left" shrinkToFit="0" vertical="center" wrapText="0"/>
    </xf>
    <xf borderId="9" fillId="12" fontId="26" numFmtId="0" xfId="0" applyAlignment="1" applyBorder="1" applyFont="1">
      <alignment horizontal="center" shrinkToFit="0" vertical="center" wrapText="0"/>
    </xf>
    <xf borderId="9" fillId="12" fontId="25" numFmtId="0" xfId="0" applyAlignment="1" applyBorder="1" applyFont="1">
      <alignment horizontal="center" shrinkToFit="0" vertical="center" wrapText="0"/>
    </xf>
    <xf borderId="10" fillId="8" fontId="16" numFmtId="0" xfId="0" applyAlignment="1" applyBorder="1" applyFont="1">
      <alignment horizontal="left" shrinkToFit="0" vertical="center" wrapText="0"/>
    </xf>
    <xf borderId="10" fillId="14" fontId="36" numFmtId="0" xfId="0" applyAlignment="1" applyBorder="1" applyFont="1">
      <alignment horizontal="center" shrinkToFit="0" vertical="center" wrapText="0"/>
    </xf>
    <xf borderId="10" fillId="8" fontId="14" numFmtId="0" xfId="0" applyAlignment="1" applyBorder="1" applyFont="1">
      <alignment horizontal="left" shrinkToFit="0" vertical="center" wrapText="1"/>
    </xf>
    <xf borderId="10" fillId="9" fontId="17" numFmtId="0" xfId="0" applyAlignment="1" applyBorder="1" applyFont="1">
      <alignment horizontal="left" shrinkToFit="0" vertical="center" wrapText="0"/>
    </xf>
    <xf borderId="10" fillId="5" fontId="36" numFmtId="0" xfId="0" applyAlignment="1" applyBorder="1" applyFont="1">
      <alignment horizontal="center" shrinkToFit="0" vertical="center" wrapText="0"/>
    </xf>
    <xf borderId="10" fillId="9" fontId="14" numFmtId="0" xfId="0" applyAlignment="1" applyBorder="1" applyFont="1">
      <alignment horizontal="left" shrinkToFit="0" vertical="center" wrapText="1"/>
    </xf>
    <xf borderId="10" fillId="10" fontId="18" numFmtId="0" xfId="0" applyAlignment="1" applyBorder="1" applyFont="1">
      <alignment horizontal="left" shrinkToFit="0" vertical="center" wrapText="0"/>
    </xf>
    <xf borderId="10" fillId="15" fontId="36" numFmtId="0" xfId="0" applyAlignment="1" applyBorder="1" applyFont="1">
      <alignment horizontal="center" shrinkToFit="0" vertical="center" wrapText="0"/>
    </xf>
    <xf borderId="10" fillId="10" fontId="14" numFmtId="0" xfId="0" applyAlignment="1" applyBorder="1" applyFont="1">
      <alignment horizontal="left" shrinkToFit="0" vertical="center" wrapText="1"/>
    </xf>
    <xf borderId="10" fillId="11" fontId="3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>
        <color rgb="FF1B4332"/>
        <name val="Arial"/>
      </font>
      <fill>
        <patternFill patternType="solid">
          <fgColor rgb="FFD8F3DC"/>
          <bgColor rgb="FFD8F3DC"/>
        </patternFill>
      </fill>
      <border/>
    </dxf>
    <dxf>
      <font/>
      <fill>
        <patternFill patternType="solid">
          <fgColor rgb="FFD8F3DC"/>
          <bgColor rgb="FFD8F3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5D04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7" width="22.0"/>
    <col customWidth="1" min="8" max="26" width="8.71"/>
  </cols>
  <sheetData>
    <row r="1" ht="12.0" customHeight="1"/>
    <row r="2" ht="49.5" customHeight="1">
      <c r="B2" s="1" t="s">
        <v>0</v>
      </c>
      <c r="C2" s="2"/>
      <c r="D2" s="2"/>
      <c r="E2" s="2"/>
      <c r="F2" s="2"/>
      <c r="G2" s="3"/>
    </row>
    <row r="3" ht="30.0" customHeight="1">
      <c r="B3" s="4" t="s">
        <v>1</v>
      </c>
      <c r="C3" s="2"/>
      <c r="D3" s="2"/>
      <c r="E3" s="2"/>
      <c r="F3" s="2"/>
      <c r="G3" s="3"/>
    </row>
    <row r="4" ht="9.75" customHeight="1"/>
    <row r="5" ht="15.0" customHeight="1"/>
    <row r="6" ht="45.0" customHeight="1">
      <c r="B6" s="5" t="s">
        <v>2</v>
      </c>
      <c r="C6" s="6" t="s">
        <v>3</v>
      </c>
      <c r="D6" s="7" t="s">
        <v>4</v>
      </c>
      <c r="E6" s="8" t="s">
        <v>5</v>
      </c>
      <c r="F6" s="9" t="s">
        <v>6</v>
      </c>
      <c r="G6" s="10"/>
    </row>
    <row r="7" ht="30.0" customHeight="1">
      <c r="B7" s="11" t="s">
        <v>7</v>
      </c>
      <c r="C7" s="12" t="s">
        <v>8</v>
      </c>
      <c r="D7" s="13" t="s">
        <v>9</v>
      </c>
      <c r="E7" s="14" t="s">
        <v>10</v>
      </c>
      <c r="F7" s="15"/>
      <c r="G7" s="16"/>
    </row>
    <row r="8" ht="15.0" customHeight="1"/>
    <row r="9" ht="13.5" customHeight="1"/>
    <row r="10" ht="27.75" customHeight="1">
      <c r="B10" s="17" t="s">
        <v>11</v>
      </c>
      <c r="C10" s="2"/>
      <c r="D10" s="2"/>
      <c r="E10" s="2"/>
      <c r="F10" s="2"/>
      <c r="G10" s="3"/>
    </row>
    <row r="11" ht="36.0" customHeight="1">
      <c r="B11" s="18" t="s">
        <v>12</v>
      </c>
      <c r="C11" s="18" t="s">
        <v>13</v>
      </c>
      <c r="D11" s="18" t="s">
        <v>14</v>
      </c>
      <c r="E11" s="18" t="s">
        <v>15</v>
      </c>
      <c r="F11" s="18" t="s">
        <v>16</v>
      </c>
      <c r="G11" s="18" t="s">
        <v>17</v>
      </c>
    </row>
    <row r="12" ht="36.0" customHeight="1">
      <c r="B12" s="18" t="s">
        <v>18</v>
      </c>
      <c r="C12" s="19" t="s">
        <v>19</v>
      </c>
      <c r="D12" s="19" t="s">
        <v>20</v>
      </c>
      <c r="E12" s="19" t="s">
        <v>21</v>
      </c>
      <c r="F12" s="19" t="s">
        <v>22</v>
      </c>
      <c r="G12" s="19" t="s">
        <v>23</v>
      </c>
    </row>
    <row r="13" ht="36.0" customHeight="1">
      <c r="B13" s="19" t="s">
        <v>24</v>
      </c>
      <c r="C13" s="19" t="s">
        <v>25</v>
      </c>
      <c r="D13" s="20" t="s">
        <v>26</v>
      </c>
      <c r="E13" s="20" t="s">
        <v>27</v>
      </c>
      <c r="F13" s="20" t="s">
        <v>28</v>
      </c>
      <c r="G13" s="20" t="s">
        <v>29</v>
      </c>
    </row>
    <row r="14" ht="36.0" customHeight="1">
      <c r="B14" s="20" t="s">
        <v>30</v>
      </c>
      <c r="C14" s="20" t="s">
        <v>31</v>
      </c>
      <c r="D14" s="20" t="s">
        <v>32</v>
      </c>
      <c r="E14" s="21" t="s">
        <v>33</v>
      </c>
      <c r="F14" s="21" t="s">
        <v>34</v>
      </c>
      <c r="G14" s="21" t="s">
        <v>35</v>
      </c>
    </row>
    <row r="15" ht="36.0" customHeight="1">
      <c r="B15" s="21" t="s">
        <v>36</v>
      </c>
      <c r="C15" s="21" t="s">
        <v>37</v>
      </c>
      <c r="D15" s="21" t="s">
        <v>38</v>
      </c>
      <c r="E15" s="21" t="s">
        <v>39</v>
      </c>
      <c r="F15" s="21" t="s">
        <v>40</v>
      </c>
      <c r="G15" s="21" t="s">
        <v>41</v>
      </c>
    </row>
    <row r="16" ht="9.75" customHeight="1"/>
    <row r="17" ht="21.75" customHeight="1">
      <c r="B17" s="22" t="s">
        <v>42</v>
      </c>
    </row>
    <row r="18" ht="13.5" customHeight="1"/>
    <row r="19" ht="27.75" customHeight="1">
      <c r="B19" s="23" t="s">
        <v>43</v>
      </c>
      <c r="C19" s="2"/>
      <c r="D19" s="2"/>
      <c r="E19" s="2"/>
      <c r="F19" s="2"/>
      <c r="G19" s="3"/>
    </row>
    <row r="20" ht="25.5" customHeight="1">
      <c r="B20" s="24" t="s">
        <v>44</v>
      </c>
      <c r="C20" s="25"/>
      <c r="D20" s="25"/>
      <c r="E20" s="25"/>
      <c r="F20" s="25"/>
      <c r="G20" s="26"/>
    </row>
    <row r="21" ht="25.5" customHeight="1">
      <c r="B21" s="27" t="s">
        <v>45</v>
      </c>
      <c r="C21" s="25"/>
      <c r="D21" s="25"/>
      <c r="E21" s="25"/>
      <c r="F21" s="25"/>
      <c r="G21" s="26"/>
    </row>
    <row r="22" ht="25.5" customHeight="1">
      <c r="B22" s="24" t="s">
        <v>46</v>
      </c>
      <c r="C22" s="25"/>
      <c r="D22" s="25"/>
      <c r="E22" s="25"/>
      <c r="F22" s="25"/>
      <c r="G22" s="26"/>
    </row>
    <row r="23" ht="25.5" customHeight="1">
      <c r="B23" s="27" t="s">
        <v>47</v>
      </c>
      <c r="C23" s="25"/>
      <c r="D23" s="25"/>
      <c r="E23" s="25"/>
      <c r="F23" s="25"/>
      <c r="G23" s="26"/>
    </row>
    <row r="24" ht="25.5" customHeight="1">
      <c r="B24" s="24" t="s">
        <v>48</v>
      </c>
      <c r="C24" s="25"/>
      <c r="D24" s="25"/>
      <c r="E24" s="25"/>
      <c r="F24" s="25"/>
      <c r="G24" s="26"/>
    </row>
    <row r="25" ht="25.5" customHeight="1">
      <c r="B25" s="27" t="s">
        <v>49</v>
      </c>
      <c r="C25" s="25"/>
      <c r="D25" s="25"/>
      <c r="E25" s="25"/>
      <c r="F25" s="25"/>
      <c r="G25" s="26"/>
    </row>
    <row r="26" ht="25.5" customHeight="1">
      <c r="B26" s="24" t="s">
        <v>50</v>
      </c>
      <c r="C26" s="25"/>
      <c r="D26" s="25"/>
      <c r="E26" s="25"/>
      <c r="F26" s="25"/>
      <c r="G26" s="26"/>
    </row>
    <row r="27" ht="25.5" customHeight="1">
      <c r="B27" s="27" t="s">
        <v>51</v>
      </c>
      <c r="C27" s="25"/>
      <c r="D27" s="25"/>
      <c r="E27" s="25"/>
      <c r="F27" s="25"/>
      <c r="G27" s="26"/>
    </row>
    <row r="28" ht="25.5" customHeight="1">
      <c r="B28" s="24" t="s">
        <v>52</v>
      </c>
      <c r="C28" s="25"/>
      <c r="D28" s="25"/>
      <c r="E28" s="25"/>
      <c r="F28" s="25"/>
      <c r="G28" s="26"/>
    </row>
    <row r="29" ht="25.5" customHeight="1">
      <c r="B29" s="27" t="s">
        <v>53</v>
      </c>
      <c r="C29" s="25"/>
      <c r="D29" s="25"/>
      <c r="E29" s="25"/>
      <c r="F29" s="25"/>
      <c r="G29" s="26"/>
    </row>
    <row r="30" ht="13.5" customHeight="1"/>
    <row r="31" ht="27.75" customHeight="1">
      <c r="B31" s="23" t="s">
        <v>54</v>
      </c>
      <c r="C31" s="2"/>
      <c r="D31" s="2"/>
      <c r="E31" s="2"/>
      <c r="F31" s="2"/>
      <c r="G31" s="3"/>
    </row>
    <row r="32" ht="30.0" customHeight="1">
      <c r="B32" s="28" t="s">
        <v>55</v>
      </c>
      <c r="C32" s="29" t="s">
        <v>56</v>
      </c>
      <c r="D32" s="2"/>
      <c r="E32" s="2"/>
      <c r="F32" s="2"/>
      <c r="G32" s="3"/>
    </row>
    <row r="33" ht="30.0" customHeight="1">
      <c r="B33" s="30" t="s">
        <v>57</v>
      </c>
      <c r="C33" s="31" t="s">
        <v>58</v>
      </c>
      <c r="D33" s="2"/>
      <c r="E33" s="2"/>
      <c r="F33" s="2"/>
      <c r="G33" s="3"/>
    </row>
    <row r="34" ht="30.0" customHeight="1">
      <c r="B34" s="32" t="s">
        <v>59</v>
      </c>
      <c r="C34" s="33" t="s">
        <v>60</v>
      </c>
      <c r="D34" s="2"/>
      <c r="E34" s="2"/>
      <c r="F34" s="2"/>
      <c r="G34" s="3"/>
    </row>
    <row r="35" ht="30.0" customHeight="1">
      <c r="B35" s="34" t="s">
        <v>61</v>
      </c>
      <c r="C35" s="35" t="s">
        <v>62</v>
      </c>
      <c r="D35" s="2"/>
      <c r="E35" s="2"/>
      <c r="F35" s="2"/>
      <c r="G35" s="3"/>
    </row>
    <row r="36" ht="13.5" customHeight="1"/>
    <row r="37" ht="21.75" customHeight="1">
      <c r="B37" s="36" t="s">
        <v>63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2:G2"/>
    <mergeCell ref="B3:G3"/>
    <mergeCell ref="F6:G7"/>
    <mergeCell ref="B10:G10"/>
    <mergeCell ref="B17:G17"/>
    <mergeCell ref="B19:G19"/>
    <mergeCell ref="B20:G20"/>
    <mergeCell ref="B28:G28"/>
    <mergeCell ref="B29:G29"/>
    <mergeCell ref="B31:G31"/>
    <mergeCell ref="C32:G32"/>
    <mergeCell ref="C33:G33"/>
    <mergeCell ref="C34:G34"/>
    <mergeCell ref="C35:G35"/>
    <mergeCell ref="B37:G37"/>
    <mergeCell ref="B21:G21"/>
    <mergeCell ref="B22:G22"/>
    <mergeCell ref="B23:G23"/>
    <mergeCell ref="B24:G24"/>
    <mergeCell ref="B25:G25"/>
    <mergeCell ref="B26:G26"/>
    <mergeCell ref="B27:G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A4F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5.0"/>
    <col customWidth="1" min="3" max="3" width="36.0"/>
    <col customWidth="1" min="4" max="4" width="13.0"/>
    <col customWidth="1" min="5" max="5" width="8.0"/>
    <col customWidth="1" min="6" max="6" width="4.0"/>
    <col customWidth="1" min="7" max="26" width="8.71"/>
  </cols>
  <sheetData>
    <row r="1" ht="39.75" customHeight="1">
      <c r="A1" s="37" t="s">
        <v>64</v>
      </c>
      <c r="B1" s="2"/>
      <c r="C1" s="2"/>
      <c r="D1" s="2"/>
      <c r="E1" s="2"/>
      <c r="F1" s="3"/>
    </row>
    <row r="2" ht="21.75" customHeight="1">
      <c r="A2" s="38"/>
      <c r="B2" s="38" t="s">
        <v>65</v>
      </c>
      <c r="C2" s="38" t="s">
        <v>66</v>
      </c>
      <c r="D2" s="38" t="s">
        <v>67</v>
      </c>
      <c r="E2" s="38" t="s">
        <v>68</v>
      </c>
      <c r="F2" s="38"/>
    </row>
    <row r="3" ht="24.0" customHeight="1">
      <c r="A3" s="39" t="s">
        <v>69</v>
      </c>
      <c r="B3" s="2"/>
      <c r="C3" s="2"/>
      <c r="D3" s="2"/>
      <c r="E3" s="2"/>
      <c r="F3" s="3"/>
    </row>
    <row r="4" ht="19.5" customHeight="1">
      <c r="A4" s="40"/>
      <c r="B4" s="41" t="s">
        <v>70</v>
      </c>
      <c r="C4" s="42" t="s">
        <v>71</v>
      </c>
      <c r="D4" s="43">
        <v>24.0</v>
      </c>
      <c r="E4" s="44"/>
      <c r="F4" s="40"/>
    </row>
    <row r="5" ht="19.5" customHeight="1">
      <c r="A5" s="40"/>
      <c r="B5" s="41" t="s">
        <v>70</v>
      </c>
      <c r="C5" s="42" t="s">
        <v>72</v>
      </c>
      <c r="D5" s="43">
        <v>62.0</v>
      </c>
      <c r="E5" s="44"/>
      <c r="F5" s="40"/>
    </row>
    <row r="6" ht="19.5" customHeight="1">
      <c r="A6" s="40"/>
      <c r="B6" s="41" t="s">
        <v>70</v>
      </c>
      <c r="C6" s="42" t="s">
        <v>73</v>
      </c>
      <c r="D6" s="43">
        <v>18.0</v>
      </c>
      <c r="E6" s="44"/>
      <c r="F6" s="40"/>
    </row>
    <row r="7" ht="19.5" customHeight="1">
      <c r="A7" s="40"/>
      <c r="B7" s="41" t="s">
        <v>70</v>
      </c>
      <c r="C7" s="42" t="s">
        <v>74</v>
      </c>
      <c r="D7" s="43">
        <v>20.0</v>
      </c>
      <c r="E7" s="44"/>
      <c r="F7" s="40"/>
    </row>
    <row r="8" ht="19.5" customHeight="1">
      <c r="A8" s="40"/>
      <c r="B8" s="41" t="s">
        <v>70</v>
      </c>
      <c r="C8" s="42" t="s">
        <v>75</v>
      </c>
      <c r="D8" s="43">
        <v>16.0</v>
      </c>
      <c r="E8" s="44"/>
      <c r="F8" s="40"/>
    </row>
    <row r="9" ht="21.75" customHeight="1">
      <c r="A9" s="40"/>
      <c r="B9" s="45" t="s">
        <v>76</v>
      </c>
      <c r="C9" s="26"/>
      <c r="D9" s="46">
        <f>D4+D5+D6+D7+D8</f>
        <v>140</v>
      </c>
      <c r="E9" s="47" t="s">
        <v>77</v>
      </c>
      <c r="F9" s="40"/>
    </row>
    <row r="10" ht="6.0" customHeight="1">
      <c r="A10" s="48"/>
      <c r="B10" s="48"/>
      <c r="C10" s="48"/>
      <c r="D10" s="48"/>
      <c r="E10" s="48"/>
      <c r="F10" s="48"/>
    </row>
    <row r="11" ht="24.0" customHeight="1">
      <c r="A11" s="39" t="s">
        <v>78</v>
      </c>
      <c r="B11" s="2"/>
      <c r="C11" s="2"/>
      <c r="D11" s="2"/>
      <c r="E11" s="2"/>
      <c r="F11" s="3"/>
    </row>
    <row r="12" ht="19.5" customHeight="1">
      <c r="A12" s="40"/>
      <c r="B12" s="41" t="s">
        <v>70</v>
      </c>
      <c r="C12" s="42" t="s">
        <v>71</v>
      </c>
      <c r="D12" s="43">
        <v>24.0</v>
      </c>
      <c r="E12" s="44"/>
      <c r="F12" s="40"/>
    </row>
    <row r="13" ht="19.5" customHeight="1">
      <c r="A13" s="40"/>
      <c r="B13" s="41" t="s">
        <v>70</v>
      </c>
      <c r="C13" s="42" t="s">
        <v>72</v>
      </c>
      <c r="D13" s="43">
        <v>62.0</v>
      </c>
      <c r="E13" s="44"/>
      <c r="F13" s="40"/>
    </row>
    <row r="14" ht="19.5" customHeight="1">
      <c r="A14" s="40"/>
      <c r="B14" s="41" t="s">
        <v>70</v>
      </c>
      <c r="C14" s="42" t="s">
        <v>79</v>
      </c>
      <c r="D14" s="43">
        <v>24.0</v>
      </c>
      <c r="E14" s="44"/>
      <c r="F14" s="40"/>
    </row>
    <row r="15" ht="19.5" customHeight="1">
      <c r="A15" s="40"/>
      <c r="B15" s="41" t="s">
        <v>70</v>
      </c>
      <c r="C15" s="42" t="s">
        <v>80</v>
      </c>
      <c r="D15" s="43">
        <v>22.0</v>
      </c>
      <c r="E15" s="44"/>
      <c r="F15" s="40"/>
    </row>
    <row r="16" ht="19.5" customHeight="1">
      <c r="A16" s="40"/>
      <c r="B16" s="41" t="s">
        <v>70</v>
      </c>
      <c r="C16" s="42" t="s">
        <v>81</v>
      </c>
      <c r="D16" s="43">
        <v>7.0</v>
      </c>
      <c r="E16" s="44"/>
      <c r="F16" s="40"/>
    </row>
    <row r="17" ht="21.75" customHeight="1">
      <c r="A17" s="40"/>
      <c r="B17" s="45" t="s">
        <v>76</v>
      </c>
      <c r="C17" s="26"/>
      <c r="D17" s="46">
        <f>D12+D13+D14+D15+D16</f>
        <v>139</v>
      </c>
      <c r="E17" s="47" t="s">
        <v>77</v>
      </c>
      <c r="F17" s="40"/>
    </row>
    <row r="18" ht="6.0" customHeight="1">
      <c r="A18" s="48"/>
      <c r="B18" s="48"/>
      <c r="C18" s="48"/>
      <c r="D18" s="48"/>
      <c r="E18" s="48"/>
      <c r="F18" s="48"/>
    </row>
    <row r="19" ht="24.0" customHeight="1">
      <c r="A19" s="39" t="s">
        <v>82</v>
      </c>
      <c r="B19" s="2"/>
      <c r="C19" s="2"/>
      <c r="D19" s="2"/>
      <c r="E19" s="2"/>
      <c r="F19" s="3"/>
    </row>
    <row r="20" ht="19.5" customHeight="1">
      <c r="A20" s="40"/>
      <c r="B20" s="41" t="s">
        <v>70</v>
      </c>
      <c r="C20" s="42" t="s">
        <v>71</v>
      </c>
      <c r="D20" s="43">
        <v>24.0</v>
      </c>
      <c r="E20" s="44"/>
      <c r="F20" s="40"/>
    </row>
    <row r="21" ht="19.5" customHeight="1">
      <c r="A21" s="40"/>
      <c r="B21" s="41" t="s">
        <v>70</v>
      </c>
      <c r="C21" s="42" t="s">
        <v>83</v>
      </c>
      <c r="D21" s="43">
        <v>44.0</v>
      </c>
      <c r="E21" s="44"/>
      <c r="F21" s="40"/>
    </row>
    <row r="22" ht="19.5" customHeight="1">
      <c r="A22" s="40"/>
      <c r="B22" s="41" t="s">
        <v>70</v>
      </c>
      <c r="C22" s="42" t="s">
        <v>79</v>
      </c>
      <c r="D22" s="43">
        <v>24.0</v>
      </c>
      <c r="E22" s="44"/>
      <c r="F22" s="40"/>
    </row>
    <row r="23" ht="19.5" customHeight="1">
      <c r="A23" s="40"/>
      <c r="B23" s="41" t="s">
        <v>70</v>
      </c>
      <c r="C23" s="42" t="s">
        <v>74</v>
      </c>
      <c r="D23" s="43">
        <v>20.0</v>
      </c>
      <c r="E23" s="44"/>
      <c r="F23" s="40"/>
    </row>
    <row r="24" ht="19.5" customHeight="1">
      <c r="A24" s="40"/>
      <c r="B24" s="41" t="s">
        <v>70</v>
      </c>
      <c r="C24" s="42" t="s">
        <v>80</v>
      </c>
      <c r="D24" s="43">
        <v>22.0</v>
      </c>
      <c r="E24" s="44"/>
      <c r="F24" s="40"/>
    </row>
    <row r="25" ht="19.5" customHeight="1">
      <c r="A25" s="40"/>
      <c r="B25" s="41" t="s">
        <v>70</v>
      </c>
      <c r="C25" s="42" t="s">
        <v>81</v>
      </c>
      <c r="D25" s="43">
        <v>7.0</v>
      </c>
      <c r="E25" s="44"/>
      <c r="F25" s="40"/>
    </row>
    <row r="26" ht="21.75" customHeight="1">
      <c r="A26" s="40"/>
      <c r="B26" s="45" t="s">
        <v>76</v>
      </c>
      <c r="C26" s="26"/>
      <c r="D26" s="46">
        <f>D20+D21+D22+D23+D24+D25</f>
        <v>141</v>
      </c>
      <c r="E26" s="47" t="s">
        <v>77</v>
      </c>
      <c r="F26" s="40"/>
    </row>
    <row r="27" ht="6.0" customHeight="1">
      <c r="A27" s="48"/>
      <c r="B27" s="48"/>
      <c r="C27" s="48"/>
      <c r="D27" s="48"/>
      <c r="E27" s="48"/>
      <c r="F27" s="48"/>
    </row>
    <row r="28" ht="24.0" customHeight="1">
      <c r="A28" s="39" t="s">
        <v>84</v>
      </c>
      <c r="B28" s="2"/>
      <c r="C28" s="2"/>
      <c r="D28" s="2"/>
      <c r="E28" s="2"/>
      <c r="F28" s="3"/>
    </row>
    <row r="29" ht="19.5" customHeight="1">
      <c r="A29" s="40"/>
      <c r="B29" s="41" t="s">
        <v>70</v>
      </c>
      <c r="C29" s="42" t="s">
        <v>71</v>
      </c>
      <c r="D29" s="43">
        <v>24.0</v>
      </c>
      <c r="E29" s="44"/>
      <c r="F29" s="40"/>
    </row>
    <row r="30" ht="19.5" customHeight="1">
      <c r="A30" s="40"/>
      <c r="B30" s="41" t="s">
        <v>70</v>
      </c>
      <c r="C30" s="42" t="s">
        <v>72</v>
      </c>
      <c r="D30" s="43">
        <v>62.0</v>
      </c>
      <c r="E30" s="44"/>
      <c r="F30" s="40"/>
    </row>
    <row r="31" ht="19.5" customHeight="1">
      <c r="A31" s="40"/>
      <c r="B31" s="41" t="s">
        <v>70</v>
      </c>
      <c r="C31" s="42" t="s">
        <v>73</v>
      </c>
      <c r="D31" s="43">
        <v>18.0</v>
      </c>
      <c r="E31" s="44"/>
      <c r="F31" s="40"/>
    </row>
    <row r="32" ht="19.5" customHeight="1">
      <c r="A32" s="40"/>
      <c r="B32" s="41" t="s">
        <v>70</v>
      </c>
      <c r="C32" s="42" t="s">
        <v>74</v>
      </c>
      <c r="D32" s="43">
        <v>20.0</v>
      </c>
      <c r="E32" s="44"/>
      <c r="F32" s="40"/>
    </row>
    <row r="33" ht="19.5" customHeight="1">
      <c r="A33" s="40"/>
      <c r="B33" s="41" t="s">
        <v>70</v>
      </c>
      <c r="C33" s="42" t="s">
        <v>75</v>
      </c>
      <c r="D33" s="43">
        <v>16.0</v>
      </c>
      <c r="E33" s="44"/>
      <c r="F33" s="40"/>
    </row>
    <row r="34" ht="21.75" customHeight="1">
      <c r="A34" s="40"/>
      <c r="B34" s="45" t="s">
        <v>76</v>
      </c>
      <c r="C34" s="26"/>
      <c r="D34" s="46">
        <f>D29+D30+D31+D32+D33</f>
        <v>140</v>
      </c>
      <c r="E34" s="47" t="s">
        <v>77</v>
      </c>
      <c r="F34" s="40"/>
    </row>
    <row r="35" ht="6.0" customHeight="1">
      <c r="A35" s="48"/>
      <c r="B35" s="48"/>
      <c r="C35" s="48"/>
      <c r="D35" s="48"/>
      <c r="E35" s="48"/>
      <c r="F35" s="48"/>
    </row>
    <row r="36" ht="24.0" customHeight="1">
      <c r="A36" s="39" t="s">
        <v>85</v>
      </c>
      <c r="B36" s="2"/>
      <c r="C36" s="2"/>
      <c r="D36" s="2"/>
      <c r="E36" s="2"/>
      <c r="F36" s="3"/>
    </row>
    <row r="37" ht="19.5" customHeight="1">
      <c r="A37" s="40"/>
      <c r="B37" s="41" t="s">
        <v>70</v>
      </c>
      <c r="C37" s="42" t="s">
        <v>71</v>
      </c>
      <c r="D37" s="43">
        <v>24.0</v>
      </c>
      <c r="E37" s="44"/>
      <c r="F37" s="40"/>
    </row>
    <row r="38" ht="19.5" customHeight="1">
      <c r="A38" s="40"/>
      <c r="B38" s="41" t="s">
        <v>70</v>
      </c>
      <c r="C38" s="42" t="s">
        <v>86</v>
      </c>
      <c r="D38" s="43">
        <v>32.0</v>
      </c>
      <c r="E38" s="44"/>
      <c r="F38" s="40"/>
    </row>
    <row r="39" ht="19.5" customHeight="1">
      <c r="A39" s="40"/>
      <c r="B39" s="41" t="s">
        <v>70</v>
      </c>
      <c r="C39" s="42" t="s">
        <v>72</v>
      </c>
      <c r="D39" s="43">
        <v>62.0</v>
      </c>
      <c r="E39" s="44"/>
      <c r="F39" s="40"/>
    </row>
    <row r="40" ht="19.5" customHeight="1">
      <c r="A40" s="40"/>
      <c r="B40" s="41" t="s">
        <v>70</v>
      </c>
      <c r="C40" s="42" t="s">
        <v>87</v>
      </c>
      <c r="D40" s="43">
        <v>12.0</v>
      </c>
      <c r="E40" s="44"/>
      <c r="F40" s="40"/>
    </row>
    <row r="41" ht="19.5" customHeight="1">
      <c r="A41" s="40"/>
      <c r="B41" s="41" t="s">
        <v>70</v>
      </c>
      <c r="C41" s="42" t="s">
        <v>88</v>
      </c>
      <c r="D41" s="43">
        <v>10.0</v>
      </c>
      <c r="E41" s="44"/>
      <c r="F41" s="40"/>
    </row>
    <row r="42" ht="21.75" customHeight="1">
      <c r="A42" s="40"/>
      <c r="B42" s="45" t="s">
        <v>76</v>
      </c>
      <c r="C42" s="26"/>
      <c r="D42" s="46">
        <f>D37+D38+D39+D40+D41</f>
        <v>140</v>
      </c>
      <c r="E42" s="47" t="s">
        <v>77</v>
      </c>
      <c r="F42" s="40"/>
    </row>
    <row r="43" ht="6.0" customHeight="1">
      <c r="A43" s="48"/>
      <c r="B43" s="48"/>
      <c r="C43" s="48"/>
      <c r="D43" s="48"/>
      <c r="E43" s="48"/>
      <c r="F43" s="48"/>
    </row>
    <row r="44" ht="24.0" customHeight="1">
      <c r="A44" s="39" t="s">
        <v>89</v>
      </c>
      <c r="B44" s="2"/>
      <c r="C44" s="2"/>
      <c r="D44" s="2"/>
      <c r="E44" s="2"/>
      <c r="F44" s="3"/>
    </row>
    <row r="45" ht="19.5" customHeight="1">
      <c r="A45" s="40"/>
      <c r="B45" s="41" t="s">
        <v>70</v>
      </c>
      <c r="C45" s="42" t="s">
        <v>71</v>
      </c>
      <c r="D45" s="43">
        <v>24.0</v>
      </c>
      <c r="E45" s="44"/>
      <c r="F45" s="40"/>
    </row>
    <row r="46" ht="19.5" customHeight="1">
      <c r="A46" s="40"/>
      <c r="B46" s="41" t="s">
        <v>70</v>
      </c>
      <c r="C46" s="42" t="s">
        <v>90</v>
      </c>
      <c r="D46" s="43">
        <v>46.0</v>
      </c>
      <c r="E46" s="44"/>
      <c r="F46" s="40"/>
    </row>
    <row r="47" ht="19.5" customHeight="1">
      <c r="A47" s="40"/>
      <c r="B47" s="41" t="s">
        <v>70</v>
      </c>
      <c r="C47" s="42" t="s">
        <v>72</v>
      </c>
      <c r="D47" s="43">
        <v>62.0</v>
      </c>
      <c r="E47" s="44"/>
      <c r="F47" s="40"/>
    </row>
    <row r="48" ht="19.5" customHeight="1">
      <c r="A48" s="40"/>
      <c r="B48" s="41" t="s">
        <v>70</v>
      </c>
      <c r="C48" s="42" t="s">
        <v>87</v>
      </c>
      <c r="D48" s="43">
        <v>12.0</v>
      </c>
      <c r="E48" s="44"/>
      <c r="F48" s="40"/>
    </row>
    <row r="49" ht="21.75" customHeight="1">
      <c r="A49" s="40"/>
      <c r="B49" s="45" t="s">
        <v>76</v>
      </c>
      <c r="C49" s="26"/>
      <c r="D49" s="46">
        <f>D45+D46+D47+D48</f>
        <v>144</v>
      </c>
      <c r="E49" s="47" t="s">
        <v>77</v>
      </c>
      <c r="F49" s="40"/>
    </row>
    <row r="50" ht="6.0" customHeight="1">
      <c r="A50" s="48"/>
      <c r="B50" s="48"/>
      <c r="C50" s="48"/>
      <c r="D50" s="48"/>
      <c r="E50" s="48"/>
      <c r="F50" s="48"/>
    </row>
    <row r="51" ht="24.0" customHeight="1">
      <c r="A51" s="39" t="s">
        <v>91</v>
      </c>
      <c r="B51" s="2"/>
      <c r="C51" s="2"/>
      <c r="D51" s="2"/>
      <c r="E51" s="2"/>
      <c r="F51" s="3"/>
    </row>
    <row r="52" ht="19.5" customHeight="1">
      <c r="A52" s="40"/>
      <c r="B52" s="41" t="s">
        <v>70</v>
      </c>
      <c r="C52" s="42" t="s">
        <v>71</v>
      </c>
      <c r="D52" s="43">
        <v>24.0</v>
      </c>
      <c r="E52" s="44"/>
      <c r="F52" s="40"/>
    </row>
    <row r="53" ht="19.5" customHeight="1">
      <c r="A53" s="40"/>
      <c r="B53" s="41" t="s">
        <v>70</v>
      </c>
      <c r="C53" s="42" t="s">
        <v>83</v>
      </c>
      <c r="D53" s="43">
        <v>44.0</v>
      </c>
      <c r="E53" s="44"/>
      <c r="F53" s="40"/>
    </row>
    <row r="54" ht="19.5" customHeight="1">
      <c r="A54" s="40"/>
      <c r="B54" s="41" t="s">
        <v>70</v>
      </c>
      <c r="C54" s="42" t="s">
        <v>72</v>
      </c>
      <c r="D54" s="43">
        <v>62.0</v>
      </c>
      <c r="E54" s="44"/>
      <c r="F54" s="40"/>
    </row>
    <row r="55" ht="19.5" customHeight="1">
      <c r="A55" s="40"/>
      <c r="B55" s="41" t="s">
        <v>70</v>
      </c>
      <c r="C55" s="42" t="s">
        <v>92</v>
      </c>
      <c r="D55" s="43">
        <v>11.0</v>
      </c>
      <c r="E55" s="44"/>
      <c r="F55" s="40"/>
    </row>
    <row r="56" ht="21.75" customHeight="1">
      <c r="A56" s="40"/>
      <c r="B56" s="45" t="s">
        <v>76</v>
      </c>
      <c r="C56" s="26"/>
      <c r="D56" s="46">
        <f>D52+D53+D54+D55</f>
        <v>141</v>
      </c>
      <c r="E56" s="47" t="s">
        <v>77</v>
      </c>
      <c r="F56" s="40"/>
    </row>
    <row r="57" ht="6.0" customHeight="1">
      <c r="A57" s="48"/>
      <c r="B57" s="48"/>
      <c r="C57" s="48"/>
      <c r="D57" s="48"/>
      <c r="E57" s="48"/>
      <c r="F57" s="48"/>
    </row>
    <row r="58" ht="24.0" customHeight="1">
      <c r="A58" s="49" t="s">
        <v>93</v>
      </c>
      <c r="B58" s="2"/>
      <c r="C58" s="2"/>
      <c r="D58" s="2"/>
      <c r="E58" s="2"/>
      <c r="F58" s="3"/>
    </row>
    <row r="59" ht="19.5" customHeight="1">
      <c r="A59" s="50"/>
      <c r="B59" s="51" t="s">
        <v>70</v>
      </c>
      <c r="C59" s="42" t="s">
        <v>71</v>
      </c>
      <c r="D59" s="43">
        <v>24.0</v>
      </c>
      <c r="E59" s="44"/>
      <c r="F59" s="50"/>
    </row>
    <row r="60" ht="19.5" customHeight="1">
      <c r="A60" s="50"/>
      <c r="B60" s="51" t="s">
        <v>70</v>
      </c>
      <c r="C60" s="42" t="s">
        <v>72</v>
      </c>
      <c r="D60" s="43">
        <v>62.0</v>
      </c>
      <c r="E60" s="44"/>
      <c r="F60" s="50"/>
    </row>
    <row r="61" ht="19.5" customHeight="1">
      <c r="A61" s="50"/>
      <c r="B61" s="51" t="s">
        <v>70</v>
      </c>
      <c r="C61" s="42" t="s">
        <v>79</v>
      </c>
      <c r="D61" s="43">
        <v>24.0</v>
      </c>
      <c r="E61" s="44"/>
      <c r="F61" s="50"/>
    </row>
    <row r="62" ht="19.5" customHeight="1">
      <c r="A62" s="50"/>
      <c r="B62" s="51" t="s">
        <v>70</v>
      </c>
      <c r="C62" s="42" t="s">
        <v>74</v>
      </c>
      <c r="D62" s="43">
        <v>20.0</v>
      </c>
      <c r="E62" s="44"/>
      <c r="F62" s="50"/>
    </row>
    <row r="63" ht="19.5" customHeight="1">
      <c r="A63" s="50"/>
      <c r="B63" s="51" t="s">
        <v>70</v>
      </c>
      <c r="C63" s="42" t="s">
        <v>92</v>
      </c>
      <c r="D63" s="43">
        <v>11.0</v>
      </c>
      <c r="E63" s="44"/>
      <c r="F63" s="50"/>
    </row>
    <row r="64" ht="21.75" customHeight="1">
      <c r="A64" s="50"/>
      <c r="B64" s="52" t="s">
        <v>76</v>
      </c>
      <c r="C64" s="26"/>
      <c r="D64" s="53">
        <f>D59+D60+D61+D62+D63</f>
        <v>141</v>
      </c>
      <c r="E64" s="54" t="s">
        <v>77</v>
      </c>
      <c r="F64" s="50"/>
    </row>
    <row r="65" ht="6.0" customHeight="1">
      <c r="A65" s="48"/>
      <c r="B65" s="48"/>
      <c r="C65" s="48"/>
      <c r="D65" s="48"/>
      <c r="E65" s="48"/>
      <c r="F65" s="48"/>
    </row>
    <row r="66" ht="24.0" customHeight="1">
      <c r="A66" s="49" t="s">
        <v>94</v>
      </c>
      <c r="B66" s="2"/>
      <c r="C66" s="2"/>
      <c r="D66" s="2"/>
      <c r="E66" s="2"/>
      <c r="F66" s="3"/>
    </row>
    <row r="67" ht="19.5" customHeight="1">
      <c r="A67" s="50"/>
      <c r="B67" s="51" t="s">
        <v>70</v>
      </c>
      <c r="C67" s="42" t="s">
        <v>71</v>
      </c>
      <c r="D67" s="43">
        <v>24.0</v>
      </c>
      <c r="E67" s="44"/>
      <c r="F67" s="50"/>
    </row>
    <row r="68" ht="19.5" customHeight="1">
      <c r="A68" s="50"/>
      <c r="B68" s="51" t="s">
        <v>70</v>
      </c>
      <c r="C68" s="42" t="s">
        <v>90</v>
      </c>
      <c r="D68" s="43">
        <v>46.0</v>
      </c>
      <c r="E68" s="44"/>
      <c r="F68" s="50"/>
    </row>
    <row r="69" ht="19.5" customHeight="1">
      <c r="A69" s="50"/>
      <c r="B69" s="51" t="s">
        <v>70</v>
      </c>
      <c r="C69" s="42" t="s">
        <v>73</v>
      </c>
      <c r="D69" s="43">
        <v>18.0</v>
      </c>
      <c r="E69" s="44"/>
      <c r="F69" s="50"/>
    </row>
    <row r="70" ht="19.5" customHeight="1">
      <c r="A70" s="50"/>
      <c r="B70" s="51" t="s">
        <v>70</v>
      </c>
      <c r="C70" s="42" t="s">
        <v>80</v>
      </c>
      <c r="D70" s="43">
        <v>22.0</v>
      </c>
      <c r="E70" s="44"/>
      <c r="F70" s="50"/>
    </row>
    <row r="71" ht="19.5" customHeight="1">
      <c r="A71" s="50"/>
      <c r="B71" s="51" t="s">
        <v>70</v>
      </c>
      <c r="C71" s="42" t="s">
        <v>95</v>
      </c>
      <c r="D71" s="43">
        <v>15.0</v>
      </c>
      <c r="E71" s="44"/>
      <c r="F71" s="50"/>
    </row>
    <row r="72" ht="19.5" customHeight="1">
      <c r="A72" s="50"/>
      <c r="B72" s="51" t="s">
        <v>70</v>
      </c>
      <c r="C72" s="42" t="s">
        <v>96</v>
      </c>
      <c r="D72" s="43">
        <v>14.0</v>
      </c>
      <c r="E72" s="44"/>
      <c r="F72" s="50"/>
    </row>
    <row r="73" ht="21.75" customHeight="1">
      <c r="A73" s="50"/>
      <c r="B73" s="52" t="s">
        <v>76</v>
      </c>
      <c r="C73" s="26"/>
      <c r="D73" s="53">
        <f>D67+D68+D69+D70+D71+D72</f>
        <v>139</v>
      </c>
      <c r="E73" s="54" t="s">
        <v>77</v>
      </c>
      <c r="F73" s="50"/>
    </row>
    <row r="74" ht="6.0" customHeight="1">
      <c r="A74" s="48"/>
      <c r="B74" s="48"/>
      <c r="C74" s="48"/>
      <c r="D74" s="48"/>
      <c r="E74" s="48"/>
      <c r="F74" s="48"/>
    </row>
    <row r="75" ht="24.0" customHeight="1">
      <c r="A75" s="49" t="s">
        <v>97</v>
      </c>
      <c r="B75" s="2"/>
      <c r="C75" s="2"/>
      <c r="D75" s="2"/>
      <c r="E75" s="2"/>
      <c r="F75" s="3"/>
    </row>
    <row r="76" ht="19.5" customHeight="1">
      <c r="A76" s="50"/>
      <c r="B76" s="51" t="s">
        <v>70</v>
      </c>
      <c r="C76" s="42" t="s">
        <v>71</v>
      </c>
      <c r="D76" s="43">
        <v>24.0</v>
      </c>
      <c r="E76" s="44"/>
      <c r="F76" s="50"/>
    </row>
    <row r="77" ht="19.5" customHeight="1">
      <c r="A77" s="50"/>
      <c r="B77" s="51" t="s">
        <v>70</v>
      </c>
      <c r="C77" s="42" t="s">
        <v>72</v>
      </c>
      <c r="D77" s="43">
        <v>62.0</v>
      </c>
      <c r="E77" s="44"/>
      <c r="F77" s="50"/>
    </row>
    <row r="78" ht="19.5" customHeight="1">
      <c r="A78" s="50"/>
      <c r="B78" s="51" t="s">
        <v>70</v>
      </c>
      <c r="C78" s="42" t="s">
        <v>83</v>
      </c>
      <c r="D78" s="43">
        <v>44.0</v>
      </c>
      <c r="E78" s="44"/>
      <c r="F78" s="50"/>
    </row>
    <row r="79" ht="19.5" customHeight="1">
      <c r="A79" s="50"/>
      <c r="B79" s="51" t="s">
        <v>70</v>
      </c>
      <c r="C79" s="42" t="s">
        <v>87</v>
      </c>
      <c r="D79" s="43">
        <v>12.0</v>
      </c>
      <c r="E79" s="44"/>
      <c r="F79" s="50"/>
    </row>
    <row r="80" ht="21.75" customHeight="1">
      <c r="A80" s="50"/>
      <c r="B80" s="52" t="s">
        <v>76</v>
      </c>
      <c r="C80" s="26"/>
      <c r="D80" s="53">
        <f>D76+D77+D78+D79</f>
        <v>142</v>
      </c>
      <c r="E80" s="54" t="s">
        <v>77</v>
      </c>
      <c r="F80" s="50"/>
    </row>
    <row r="81" ht="6.0" customHeight="1">
      <c r="A81" s="48"/>
      <c r="B81" s="48"/>
      <c r="C81" s="48"/>
      <c r="D81" s="48"/>
      <c r="E81" s="48"/>
      <c r="F81" s="48"/>
    </row>
    <row r="82" ht="24.0" customHeight="1">
      <c r="A82" s="49" t="s">
        <v>98</v>
      </c>
      <c r="B82" s="2"/>
      <c r="C82" s="2"/>
      <c r="D82" s="2"/>
      <c r="E82" s="2"/>
      <c r="F82" s="3"/>
    </row>
    <row r="83" ht="19.5" customHeight="1">
      <c r="A83" s="50"/>
      <c r="B83" s="51" t="s">
        <v>70</v>
      </c>
      <c r="C83" s="42" t="s">
        <v>71</v>
      </c>
      <c r="D83" s="43">
        <v>24.0</v>
      </c>
      <c r="E83" s="44"/>
      <c r="F83" s="50"/>
    </row>
    <row r="84" ht="19.5" customHeight="1">
      <c r="A84" s="50"/>
      <c r="B84" s="51" t="s">
        <v>70</v>
      </c>
      <c r="C84" s="42" t="s">
        <v>99</v>
      </c>
      <c r="D84" s="43">
        <v>25.0</v>
      </c>
      <c r="E84" s="44"/>
      <c r="F84" s="50"/>
    </row>
    <row r="85" ht="19.5" customHeight="1">
      <c r="A85" s="50"/>
      <c r="B85" s="51" t="s">
        <v>70</v>
      </c>
      <c r="C85" s="42" t="s">
        <v>72</v>
      </c>
      <c r="D85" s="43">
        <v>62.0</v>
      </c>
      <c r="E85" s="44"/>
      <c r="F85" s="50"/>
    </row>
    <row r="86" ht="19.5" customHeight="1">
      <c r="A86" s="50"/>
      <c r="B86" s="51" t="s">
        <v>70</v>
      </c>
      <c r="C86" s="42" t="s">
        <v>73</v>
      </c>
      <c r="D86" s="43">
        <v>18.0</v>
      </c>
      <c r="E86" s="44"/>
      <c r="F86" s="50"/>
    </row>
    <row r="87" ht="19.5" customHeight="1">
      <c r="A87" s="50"/>
      <c r="B87" s="51" t="s">
        <v>70</v>
      </c>
      <c r="C87" s="42" t="s">
        <v>92</v>
      </c>
      <c r="D87" s="43">
        <v>11.0</v>
      </c>
      <c r="E87" s="44"/>
      <c r="F87" s="50"/>
    </row>
    <row r="88" ht="21.75" customHeight="1">
      <c r="A88" s="50"/>
      <c r="B88" s="52" t="s">
        <v>76</v>
      </c>
      <c r="C88" s="26"/>
      <c r="D88" s="53">
        <f>D83+D84+D85+D86+D87</f>
        <v>140</v>
      </c>
      <c r="E88" s="54" t="s">
        <v>77</v>
      </c>
      <c r="F88" s="50"/>
    </row>
    <row r="89" ht="6.0" customHeight="1">
      <c r="A89" s="48"/>
      <c r="B89" s="48"/>
      <c r="C89" s="48"/>
      <c r="D89" s="48"/>
      <c r="E89" s="48"/>
      <c r="F89" s="48"/>
    </row>
    <row r="90" ht="24.0" customHeight="1">
      <c r="A90" s="49" t="s">
        <v>100</v>
      </c>
      <c r="B90" s="2"/>
      <c r="C90" s="2"/>
      <c r="D90" s="2"/>
      <c r="E90" s="2"/>
      <c r="F90" s="3"/>
    </row>
    <row r="91" ht="19.5" customHeight="1">
      <c r="A91" s="50"/>
      <c r="B91" s="51" t="s">
        <v>70</v>
      </c>
      <c r="C91" s="42" t="s">
        <v>71</v>
      </c>
      <c r="D91" s="43">
        <v>24.0</v>
      </c>
      <c r="E91" s="44"/>
      <c r="F91" s="50"/>
    </row>
    <row r="92" ht="19.5" customHeight="1">
      <c r="A92" s="50"/>
      <c r="B92" s="51" t="s">
        <v>70</v>
      </c>
      <c r="C92" s="42" t="s">
        <v>90</v>
      </c>
      <c r="D92" s="43">
        <v>46.0</v>
      </c>
      <c r="E92" s="44"/>
      <c r="F92" s="50"/>
    </row>
    <row r="93" ht="19.5" customHeight="1">
      <c r="A93" s="50"/>
      <c r="B93" s="51" t="s">
        <v>70</v>
      </c>
      <c r="C93" s="42" t="s">
        <v>72</v>
      </c>
      <c r="D93" s="43">
        <v>62.0</v>
      </c>
      <c r="E93" s="44"/>
      <c r="F93" s="50"/>
    </row>
    <row r="94" ht="19.5" customHeight="1">
      <c r="A94" s="50"/>
      <c r="B94" s="51" t="s">
        <v>70</v>
      </c>
      <c r="C94" s="42" t="s">
        <v>88</v>
      </c>
      <c r="D94" s="43">
        <v>10.0</v>
      </c>
      <c r="E94" s="44"/>
      <c r="F94" s="50"/>
    </row>
    <row r="95" ht="21.75" customHeight="1">
      <c r="A95" s="50"/>
      <c r="B95" s="52" t="s">
        <v>76</v>
      </c>
      <c r="C95" s="26"/>
      <c r="D95" s="53">
        <f>D91+D92+D93+D94</f>
        <v>142</v>
      </c>
      <c r="E95" s="54" t="s">
        <v>77</v>
      </c>
      <c r="F95" s="50"/>
    </row>
    <row r="96" ht="6.0" customHeight="1">
      <c r="A96" s="48"/>
      <c r="B96" s="48"/>
      <c r="C96" s="48"/>
      <c r="D96" s="48"/>
      <c r="E96" s="48"/>
      <c r="F96" s="48"/>
    </row>
    <row r="97" ht="24.0" customHeight="1">
      <c r="A97" s="49" t="s">
        <v>101</v>
      </c>
      <c r="B97" s="2"/>
      <c r="C97" s="2"/>
      <c r="D97" s="2"/>
      <c r="E97" s="2"/>
      <c r="F97" s="3"/>
    </row>
    <row r="98" ht="19.5" customHeight="1">
      <c r="A98" s="50"/>
      <c r="B98" s="51" t="s">
        <v>70</v>
      </c>
      <c r="C98" s="42" t="s">
        <v>71</v>
      </c>
      <c r="D98" s="43">
        <v>24.0</v>
      </c>
      <c r="E98" s="44"/>
      <c r="F98" s="50"/>
    </row>
    <row r="99" ht="19.5" customHeight="1">
      <c r="A99" s="50"/>
      <c r="B99" s="51" t="s">
        <v>70</v>
      </c>
      <c r="C99" s="42" t="s">
        <v>86</v>
      </c>
      <c r="D99" s="43">
        <v>32.0</v>
      </c>
      <c r="E99" s="44"/>
      <c r="F99" s="50"/>
    </row>
    <row r="100" ht="19.5" customHeight="1">
      <c r="A100" s="50"/>
      <c r="B100" s="51" t="s">
        <v>70</v>
      </c>
      <c r="C100" s="42" t="s">
        <v>102</v>
      </c>
      <c r="D100" s="43">
        <v>46.0</v>
      </c>
      <c r="E100" s="44"/>
      <c r="F100" s="50"/>
    </row>
    <row r="101" ht="19.5" customHeight="1">
      <c r="A101" s="50"/>
      <c r="B101" s="51" t="s">
        <v>70</v>
      </c>
      <c r="C101" s="42" t="s">
        <v>73</v>
      </c>
      <c r="D101" s="43">
        <v>18.0</v>
      </c>
      <c r="E101" s="44"/>
      <c r="F101" s="50"/>
    </row>
    <row r="102" ht="19.5" customHeight="1">
      <c r="A102" s="50"/>
      <c r="B102" s="51" t="s">
        <v>70</v>
      </c>
      <c r="C102" s="42" t="s">
        <v>92</v>
      </c>
      <c r="D102" s="43">
        <v>11.0</v>
      </c>
      <c r="E102" s="44"/>
      <c r="F102" s="50"/>
    </row>
    <row r="103" ht="19.5" customHeight="1">
      <c r="A103" s="50"/>
      <c r="B103" s="51" t="s">
        <v>70</v>
      </c>
      <c r="C103" s="42" t="s">
        <v>88</v>
      </c>
      <c r="D103" s="43">
        <v>10.0</v>
      </c>
      <c r="E103" s="44"/>
      <c r="F103" s="50"/>
    </row>
    <row r="104" ht="21.75" customHeight="1">
      <c r="A104" s="50"/>
      <c r="B104" s="52" t="s">
        <v>76</v>
      </c>
      <c r="C104" s="26"/>
      <c r="D104" s="53">
        <f>D98+D99+D100+D101+D102+D103</f>
        <v>141</v>
      </c>
      <c r="E104" s="54" t="s">
        <v>77</v>
      </c>
      <c r="F104" s="50"/>
    </row>
    <row r="105" ht="6.0" customHeight="1">
      <c r="A105" s="48"/>
      <c r="B105" s="48"/>
      <c r="C105" s="48"/>
      <c r="D105" s="48"/>
      <c r="E105" s="48"/>
      <c r="F105" s="48"/>
    </row>
    <row r="106" ht="24.0" customHeight="1">
      <c r="A106" s="49" t="s">
        <v>103</v>
      </c>
      <c r="B106" s="2"/>
      <c r="C106" s="2"/>
      <c r="D106" s="2"/>
      <c r="E106" s="2"/>
      <c r="F106" s="3"/>
    </row>
    <row r="107" ht="19.5" customHeight="1">
      <c r="A107" s="50"/>
      <c r="B107" s="51" t="s">
        <v>70</v>
      </c>
      <c r="C107" s="42" t="s">
        <v>71</v>
      </c>
      <c r="D107" s="43">
        <v>24.0</v>
      </c>
      <c r="E107" s="44"/>
      <c r="F107" s="50"/>
    </row>
    <row r="108" ht="19.5" customHeight="1">
      <c r="A108" s="50"/>
      <c r="B108" s="51" t="s">
        <v>70</v>
      </c>
      <c r="C108" s="42" t="s">
        <v>72</v>
      </c>
      <c r="D108" s="43">
        <v>62.0</v>
      </c>
      <c r="E108" s="44"/>
      <c r="F108" s="50"/>
    </row>
    <row r="109" ht="19.5" customHeight="1">
      <c r="A109" s="50"/>
      <c r="B109" s="51" t="s">
        <v>70</v>
      </c>
      <c r="C109" s="42" t="s">
        <v>73</v>
      </c>
      <c r="D109" s="43">
        <v>18.0</v>
      </c>
      <c r="E109" s="44"/>
      <c r="F109" s="50"/>
    </row>
    <row r="110" ht="19.5" customHeight="1">
      <c r="A110" s="50"/>
      <c r="B110" s="51" t="s">
        <v>70</v>
      </c>
      <c r="C110" s="42" t="s">
        <v>80</v>
      </c>
      <c r="D110" s="43">
        <v>22.0</v>
      </c>
      <c r="E110" s="44"/>
      <c r="F110" s="50"/>
    </row>
    <row r="111" ht="19.5" customHeight="1">
      <c r="A111" s="50"/>
      <c r="B111" s="51" t="s">
        <v>70</v>
      </c>
      <c r="C111" s="42" t="s">
        <v>96</v>
      </c>
      <c r="D111" s="43">
        <v>14.0</v>
      </c>
      <c r="E111" s="44"/>
      <c r="F111" s="50"/>
    </row>
    <row r="112" ht="21.75" customHeight="1">
      <c r="A112" s="50"/>
      <c r="B112" s="52" t="s">
        <v>76</v>
      </c>
      <c r="C112" s="26"/>
      <c r="D112" s="53">
        <f>D107+D108+D109+D110+D111</f>
        <v>140</v>
      </c>
      <c r="E112" s="54" t="s">
        <v>77</v>
      </c>
      <c r="F112" s="50"/>
    </row>
    <row r="113" ht="6.0" customHeight="1">
      <c r="A113" s="48"/>
      <c r="B113" s="48"/>
      <c r="C113" s="48"/>
      <c r="D113" s="48"/>
      <c r="E113" s="48"/>
      <c r="F113" s="48"/>
    </row>
    <row r="114" ht="24.0" customHeight="1">
      <c r="A114" s="55" t="s">
        <v>104</v>
      </c>
      <c r="B114" s="2"/>
      <c r="C114" s="2"/>
      <c r="D114" s="2"/>
      <c r="E114" s="2"/>
      <c r="F114" s="3"/>
    </row>
    <row r="115" ht="19.5" customHeight="1">
      <c r="A115" s="56"/>
      <c r="B115" s="57" t="s">
        <v>70</v>
      </c>
      <c r="C115" s="42" t="s">
        <v>71</v>
      </c>
      <c r="D115" s="43">
        <v>24.0</v>
      </c>
      <c r="E115" s="44"/>
      <c r="F115" s="56"/>
    </row>
    <row r="116" ht="19.5" customHeight="1">
      <c r="A116" s="56"/>
      <c r="B116" s="57" t="s">
        <v>70</v>
      </c>
      <c r="C116" s="42" t="s">
        <v>83</v>
      </c>
      <c r="D116" s="43">
        <v>44.0</v>
      </c>
      <c r="E116" s="44"/>
      <c r="F116" s="56"/>
    </row>
    <row r="117" ht="19.5" customHeight="1">
      <c r="A117" s="56"/>
      <c r="B117" s="57" t="s">
        <v>70</v>
      </c>
      <c r="C117" s="42" t="s">
        <v>72</v>
      </c>
      <c r="D117" s="43">
        <v>62.0</v>
      </c>
      <c r="E117" s="44"/>
      <c r="F117" s="56"/>
    </row>
    <row r="118" ht="19.5" customHeight="1">
      <c r="A118" s="56"/>
      <c r="B118" s="57" t="s">
        <v>70</v>
      </c>
      <c r="C118" s="42" t="s">
        <v>87</v>
      </c>
      <c r="D118" s="43">
        <v>12.0</v>
      </c>
      <c r="E118" s="44"/>
      <c r="F118" s="56"/>
    </row>
    <row r="119" ht="21.75" customHeight="1">
      <c r="A119" s="56"/>
      <c r="B119" s="58" t="s">
        <v>76</v>
      </c>
      <c r="C119" s="26"/>
      <c r="D119" s="59">
        <f>D115+D116+D117+D118</f>
        <v>142</v>
      </c>
      <c r="E119" s="60" t="s">
        <v>77</v>
      </c>
      <c r="F119" s="56"/>
    </row>
    <row r="120" ht="6.0" customHeight="1">
      <c r="A120" s="48"/>
      <c r="B120" s="48"/>
      <c r="C120" s="48"/>
      <c r="D120" s="48"/>
      <c r="E120" s="48"/>
      <c r="F120" s="48"/>
    </row>
    <row r="121" ht="24.0" customHeight="1">
      <c r="A121" s="55" t="s">
        <v>105</v>
      </c>
      <c r="B121" s="2"/>
      <c r="C121" s="2"/>
      <c r="D121" s="2"/>
      <c r="E121" s="2"/>
      <c r="F121" s="3"/>
    </row>
    <row r="122" ht="19.5" customHeight="1">
      <c r="A122" s="56"/>
      <c r="B122" s="57" t="s">
        <v>70</v>
      </c>
      <c r="C122" s="42" t="s">
        <v>71</v>
      </c>
      <c r="D122" s="43">
        <v>24.0</v>
      </c>
      <c r="E122" s="44"/>
      <c r="F122" s="56"/>
    </row>
    <row r="123" ht="19.5" customHeight="1">
      <c r="A123" s="56"/>
      <c r="B123" s="57" t="s">
        <v>70</v>
      </c>
      <c r="C123" s="42" t="s">
        <v>90</v>
      </c>
      <c r="D123" s="43">
        <v>46.0</v>
      </c>
      <c r="E123" s="44"/>
      <c r="F123" s="56"/>
    </row>
    <row r="124" ht="19.5" customHeight="1">
      <c r="A124" s="56"/>
      <c r="B124" s="57" t="s">
        <v>70</v>
      </c>
      <c r="C124" s="42" t="s">
        <v>73</v>
      </c>
      <c r="D124" s="43">
        <v>18.0</v>
      </c>
      <c r="E124" s="44"/>
      <c r="F124" s="56"/>
    </row>
    <row r="125" ht="19.5" customHeight="1">
      <c r="A125" s="56"/>
      <c r="B125" s="57" t="s">
        <v>70</v>
      </c>
      <c r="C125" s="42" t="s">
        <v>74</v>
      </c>
      <c r="D125" s="43">
        <v>20.0</v>
      </c>
      <c r="E125" s="44"/>
      <c r="F125" s="56"/>
    </row>
    <row r="126" ht="19.5" customHeight="1">
      <c r="A126" s="56"/>
      <c r="B126" s="57" t="s">
        <v>70</v>
      </c>
      <c r="C126" s="42" t="s">
        <v>80</v>
      </c>
      <c r="D126" s="43">
        <v>22.0</v>
      </c>
      <c r="E126" s="44"/>
      <c r="F126" s="56"/>
    </row>
    <row r="127" ht="19.5" customHeight="1">
      <c r="A127" s="56"/>
      <c r="B127" s="57" t="s">
        <v>70</v>
      </c>
      <c r="C127" s="42" t="s">
        <v>106</v>
      </c>
      <c r="D127" s="43">
        <v>9.0</v>
      </c>
      <c r="E127" s="44"/>
      <c r="F127" s="56"/>
    </row>
    <row r="128" ht="21.75" customHeight="1">
      <c r="A128" s="56"/>
      <c r="B128" s="58" t="s">
        <v>76</v>
      </c>
      <c r="C128" s="26"/>
      <c r="D128" s="59">
        <f>D122+D123+D124+D125+D126+D127</f>
        <v>139</v>
      </c>
      <c r="E128" s="60" t="s">
        <v>77</v>
      </c>
      <c r="F128" s="56"/>
    </row>
    <row r="129" ht="6.0" customHeight="1">
      <c r="A129" s="48"/>
      <c r="B129" s="48"/>
      <c r="C129" s="48"/>
      <c r="D129" s="48"/>
      <c r="E129" s="48"/>
      <c r="F129" s="48"/>
    </row>
    <row r="130" ht="24.0" customHeight="1">
      <c r="A130" s="55" t="s">
        <v>107</v>
      </c>
      <c r="B130" s="2"/>
      <c r="C130" s="2"/>
      <c r="D130" s="2"/>
      <c r="E130" s="2"/>
      <c r="F130" s="3"/>
    </row>
    <row r="131" ht="19.5" customHeight="1">
      <c r="A131" s="56"/>
      <c r="B131" s="57" t="s">
        <v>70</v>
      </c>
      <c r="C131" s="42" t="s">
        <v>71</v>
      </c>
      <c r="D131" s="43">
        <v>24.0</v>
      </c>
      <c r="E131" s="44"/>
      <c r="F131" s="56"/>
    </row>
    <row r="132" ht="19.5" customHeight="1">
      <c r="A132" s="56"/>
      <c r="B132" s="57" t="s">
        <v>70</v>
      </c>
      <c r="C132" s="42" t="s">
        <v>72</v>
      </c>
      <c r="D132" s="43">
        <v>62.0</v>
      </c>
      <c r="E132" s="44"/>
      <c r="F132" s="56"/>
    </row>
    <row r="133" ht="19.5" customHeight="1">
      <c r="A133" s="56"/>
      <c r="B133" s="57" t="s">
        <v>70</v>
      </c>
      <c r="C133" s="42" t="s">
        <v>80</v>
      </c>
      <c r="D133" s="43">
        <v>22.0</v>
      </c>
      <c r="E133" s="44"/>
      <c r="F133" s="56"/>
    </row>
    <row r="134" ht="19.5" customHeight="1">
      <c r="A134" s="56"/>
      <c r="B134" s="57" t="s">
        <v>70</v>
      </c>
      <c r="C134" s="42" t="s">
        <v>73</v>
      </c>
      <c r="D134" s="43">
        <v>18.0</v>
      </c>
      <c r="E134" s="44"/>
      <c r="F134" s="56"/>
    </row>
    <row r="135" ht="19.5" customHeight="1">
      <c r="A135" s="56"/>
      <c r="B135" s="57" t="s">
        <v>70</v>
      </c>
      <c r="C135" s="42" t="s">
        <v>95</v>
      </c>
      <c r="D135" s="43">
        <v>15.0</v>
      </c>
      <c r="E135" s="44"/>
      <c r="F135" s="56"/>
    </row>
    <row r="136" ht="21.75" customHeight="1">
      <c r="A136" s="56"/>
      <c r="B136" s="58" t="s">
        <v>76</v>
      </c>
      <c r="C136" s="26"/>
      <c r="D136" s="59">
        <f>D131+D132+D133+D134+D135</f>
        <v>141</v>
      </c>
      <c r="E136" s="60" t="s">
        <v>77</v>
      </c>
      <c r="F136" s="56"/>
    </row>
    <row r="137" ht="6.0" customHeight="1">
      <c r="A137" s="48"/>
      <c r="B137" s="48"/>
      <c r="C137" s="48"/>
      <c r="D137" s="48"/>
      <c r="E137" s="48"/>
      <c r="F137" s="48"/>
    </row>
    <row r="138" ht="24.0" customHeight="1">
      <c r="A138" s="55" t="s">
        <v>108</v>
      </c>
      <c r="B138" s="2"/>
      <c r="C138" s="2"/>
      <c r="D138" s="2"/>
      <c r="E138" s="2"/>
      <c r="F138" s="3"/>
    </row>
    <row r="139" ht="19.5" customHeight="1">
      <c r="A139" s="56"/>
      <c r="B139" s="57" t="s">
        <v>70</v>
      </c>
      <c r="C139" s="42" t="s">
        <v>71</v>
      </c>
      <c r="D139" s="43">
        <v>24.0</v>
      </c>
      <c r="E139" s="44"/>
      <c r="F139" s="56"/>
    </row>
    <row r="140" ht="19.5" customHeight="1">
      <c r="A140" s="56"/>
      <c r="B140" s="57" t="s">
        <v>70</v>
      </c>
      <c r="C140" s="42" t="s">
        <v>109</v>
      </c>
      <c r="D140" s="43">
        <v>48.0</v>
      </c>
      <c r="E140" s="44"/>
      <c r="F140" s="56"/>
    </row>
    <row r="141" ht="19.5" customHeight="1">
      <c r="A141" s="56"/>
      <c r="B141" s="57" t="s">
        <v>70</v>
      </c>
      <c r="C141" s="42" t="s">
        <v>73</v>
      </c>
      <c r="D141" s="43">
        <v>18.0</v>
      </c>
      <c r="E141" s="44"/>
      <c r="F141" s="56"/>
    </row>
    <row r="142" ht="19.5" customHeight="1">
      <c r="A142" s="56"/>
      <c r="B142" s="57" t="s">
        <v>70</v>
      </c>
      <c r="C142" s="42" t="s">
        <v>74</v>
      </c>
      <c r="D142" s="43">
        <v>20.0</v>
      </c>
      <c r="E142" s="44"/>
      <c r="F142" s="56"/>
    </row>
    <row r="143" ht="19.5" customHeight="1">
      <c r="A143" s="56"/>
      <c r="B143" s="57" t="s">
        <v>70</v>
      </c>
      <c r="C143" s="42" t="s">
        <v>80</v>
      </c>
      <c r="D143" s="43">
        <v>22.0</v>
      </c>
      <c r="E143" s="44"/>
      <c r="F143" s="56"/>
    </row>
    <row r="144" ht="19.5" customHeight="1">
      <c r="A144" s="56"/>
      <c r="B144" s="57" t="s">
        <v>70</v>
      </c>
      <c r="C144" s="42" t="s">
        <v>81</v>
      </c>
      <c r="D144" s="43">
        <v>7.0</v>
      </c>
      <c r="E144" s="44"/>
      <c r="F144" s="56"/>
    </row>
    <row r="145" ht="21.75" customHeight="1">
      <c r="A145" s="56"/>
      <c r="B145" s="58" t="s">
        <v>76</v>
      </c>
      <c r="C145" s="26"/>
      <c r="D145" s="59">
        <f>D139+D140+D141+D142+D143+D144</f>
        <v>139</v>
      </c>
      <c r="E145" s="60" t="s">
        <v>77</v>
      </c>
      <c r="F145" s="56"/>
    </row>
    <row r="146" ht="6.0" customHeight="1">
      <c r="A146" s="48"/>
      <c r="B146" s="48"/>
      <c r="C146" s="48"/>
      <c r="D146" s="48"/>
      <c r="E146" s="48"/>
      <c r="F146" s="48"/>
    </row>
    <row r="147" ht="24.0" customHeight="1">
      <c r="A147" s="55" t="s">
        <v>110</v>
      </c>
      <c r="B147" s="2"/>
      <c r="C147" s="2"/>
      <c r="D147" s="2"/>
      <c r="E147" s="2"/>
      <c r="F147" s="3"/>
    </row>
    <row r="148" ht="19.5" customHeight="1">
      <c r="A148" s="56"/>
      <c r="B148" s="57" t="s">
        <v>70</v>
      </c>
      <c r="C148" s="42" t="s">
        <v>71</v>
      </c>
      <c r="D148" s="43">
        <v>24.0</v>
      </c>
      <c r="E148" s="44"/>
      <c r="F148" s="56"/>
    </row>
    <row r="149" ht="19.5" customHeight="1">
      <c r="A149" s="56"/>
      <c r="B149" s="57" t="s">
        <v>70</v>
      </c>
      <c r="C149" s="42" t="s">
        <v>72</v>
      </c>
      <c r="D149" s="43">
        <v>62.0</v>
      </c>
      <c r="E149" s="44"/>
      <c r="F149" s="56"/>
    </row>
    <row r="150" ht="19.5" customHeight="1">
      <c r="A150" s="56"/>
      <c r="B150" s="57" t="s">
        <v>70</v>
      </c>
      <c r="C150" s="42" t="s">
        <v>90</v>
      </c>
      <c r="D150" s="43">
        <v>46.0</v>
      </c>
      <c r="E150" s="44"/>
      <c r="F150" s="56"/>
    </row>
    <row r="151" ht="19.5" customHeight="1">
      <c r="A151" s="56"/>
      <c r="B151" s="57" t="s">
        <v>70</v>
      </c>
      <c r="C151" s="42" t="s">
        <v>87</v>
      </c>
      <c r="D151" s="43">
        <v>12.0</v>
      </c>
      <c r="E151" s="44"/>
      <c r="F151" s="56"/>
    </row>
    <row r="152" ht="21.75" customHeight="1">
      <c r="A152" s="56"/>
      <c r="B152" s="58" t="s">
        <v>76</v>
      </c>
      <c r="C152" s="26"/>
      <c r="D152" s="59">
        <f>D148+D149+D150+D151</f>
        <v>144</v>
      </c>
      <c r="E152" s="60" t="s">
        <v>77</v>
      </c>
      <c r="F152" s="56"/>
    </row>
    <row r="153" ht="6.0" customHeight="1">
      <c r="A153" s="48"/>
      <c r="B153" s="48"/>
      <c r="C153" s="48"/>
      <c r="D153" s="48"/>
      <c r="E153" s="48"/>
      <c r="F153" s="48"/>
    </row>
    <row r="154" ht="24.0" customHeight="1">
      <c r="A154" s="55" t="s">
        <v>111</v>
      </c>
      <c r="B154" s="2"/>
      <c r="C154" s="2"/>
      <c r="D154" s="2"/>
      <c r="E154" s="2"/>
      <c r="F154" s="3"/>
    </row>
    <row r="155" ht="19.5" customHeight="1">
      <c r="A155" s="56"/>
      <c r="B155" s="57" t="s">
        <v>70</v>
      </c>
      <c r="C155" s="42" t="s">
        <v>71</v>
      </c>
      <c r="D155" s="43">
        <v>24.0</v>
      </c>
      <c r="E155" s="44"/>
      <c r="F155" s="56"/>
    </row>
    <row r="156" ht="19.5" customHeight="1">
      <c r="A156" s="56"/>
      <c r="B156" s="57" t="s">
        <v>70</v>
      </c>
      <c r="C156" s="42" t="s">
        <v>83</v>
      </c>
      <c r="D156" s="43">
        <v>44.0</v>
      </c>
      <c r="E156" s="44"/>
      <c r="F156" s="56"/>
    </row>
    <row r="157" ht="19.5" customHeight="1">
      <c r="A157" s="56"/>
      <c r="B157" s="57" t="s">
        <v>70</v>
      </c>
      <c r="C157" s="42" t="s">
        <v>112</v>
      </c>
      <c r="D157" s="43">
        <v>30.0</v>
      </c>
      <c r="E157" s="44"/>
      <c r="F157" s="56"/>
    </row>
    <row r="158" ht="19.5" customHeight="1">
      <c r="A158" s="56"/>
      <c r="B158" s="57" t="s">
        <v>70</v>
      </c>
      <c r="C158" s="42" t="s">
        <v>80</v>
      </c>
      <c r="D158" s="43">
        <v>22.0</v>
      </c>
      <c r="E158" s="44"/>
      <c r="F158" s="56"/>
    </row>
    <row r="159" ht="19.5" customHeight="1">
      <c r="A159" s="56"/>
      <c r="B159" s="57" t="s">
        <v>70</v>
      </c>
      <c r="C159" s="42" t="s">
        <v>95</v>
      </c>
      <c r="D159" s="43">
        <v>15.0</v>
      </c>
      <c r="E159" s="44"/>
      <c r="F159" s="56"/>
    </row>
    <row r="160" ht="19.5" customHeight="1">
      <c r="A160" s="56"/>
      <c r="B160" s="57" t="s">
        <v>70</v>
      </c>
      <c r="C160" s="42" t="s">
        <v>81</v>
      </c>
      <c r="D160" s="43">
        <v>7.0</v>
      </c>
      <c r="E160" s="44"/>
      <c r="F160" s="56"/>
    </row>
    <row r="161" ht="21.75" customHeight="1">
      <c r="A161" s="56"/>
      <c r="B161" s="58" t="s">
        <v>76</v>
      </c>
      <c r="C161" s="26"/>
      <c r="D161" s="59">
        <f>D155+D156+D157+D158+D159+D160</f>
        <v>142</v>
      </c>
      <c r="E161" s="60" t="s">
        <v>77</v>
      </c>
      <c r="F161" s="56"/>
    </row>
    <row r="162" ht="6.0" customHeight="1">
      <c r="A162" s="48"/>
      <c r="B162" s="48"/>
      <c r="C162" s="48"/>
      <c r="D162" s="48"/>
      <c r="E162" s="48"/>
      <c r="F162" s="48"/>
    </row>
    <row r="163" ht="24.0" customHeight="1">
      <c r="A163" s="55" t="s">
        <v>113</v>
      </c>
      <c r="B163" s="2"/>
      <c r="C163" s="2"/>
      <c r="D163" s="2"/>
      <c r="E163" s="2"/>
      <c r="F163" s="3"/>
    </row>
    <row r="164" ht="19.5" customHeight="1">
      <c r="A164" s="56"/>
      <c r="B164" s="57" t="s">
        <v>70</v>
      </c>
      <c r="C164" s="42" t="s">
        <v>71</v>
      </c>
      <c r="D164" s="43">
        <v>24.0</v>
      </c>
      <c r="E164" s="44"/>
      <c r="F164" s="56"/>
    </row>
    <row r="165" ht="19.5" customHeight="1">
      <c r="A165" s="56"/>
      <c r="B165" s="57" t="s">
        <v>70</v>
      </c>
      <c r="C165" s="42" t="s">
        <v>72</v>
      </c>
      <c r="D165" s="43">
        <v>62.0</v>
      </c>
      <c r="E165" s="44"/>
      <c r="F165" s="56"/>
    </row>
    <row r="166" ht="19.5" customHeight="1">
      <c r="A166" s="56"/>
      <c r="B166" s="57" t="s">
        <v>70</v>
      </c>
      <c r="C166" s="42" t="s">
        <v>79</v>
      </c>
      <c r="D166" s="43">
        <v>24.0</v>
      </c>
      <c r="E166" s="44"/>
      <c r="F166" s="56"/>
    </row>
    <row r="167" ht="19.5" customHeight="1">
      <c r="A167" s="56"/>
      <c r="B167" s="57" t="s">
        <v>70</v>
      </c>
      <c r="C167" s="42" t="s">
        <v>74</v>
      </c>
      <c r="D167" s="43">
        <v>20.0</v>
      </c>
      <c r="E167" s="44"/>
      <c r="F167" s="56"/>
    </row>
    <row r="168" ht="19.5" customHeight="1">
      <c r="A168" s="56"/>
      <c r="B168" s="57" t="s">
        <v>70</v>
      </c>
      <c r="C168" s="42" t="s">
        <v>92</v>
      </c>
      <c r="D168" s="43">
        <v>11.0</v>
      </c>
      <c r="E168" s="44"/>
      <c r="F168" s="56"/>
    </row>
    <row r="169" ht="21.75" customHeight="1">
      <c r="A169" s="56"/>
      <c r="B169" s="58" t="s">
        <v>76</v>
      </c>
      <c r="C169" s="26"/>
      <c r="D169" s="59">
        <f>D164+D165+D166+D167+D168</f>
        <v>141</v>
      </c>
      <c r="E169" s="60" t="s">
        <v>77</v>
      </c>
      <c r="F169" s="56"/>
    </row>
    <row r="170" ht="6.0" customHeight="1">
      <c r="A170" s="48"/>
      <c r="B170" s="48"/>
      <c r="C170" s="48"/>
      <c r="D170" s="48"/>
      <c r="E170" s="48"/>
      <c r="F170" s="48"/>
    </row>
    <row r="171" ht="24.0" customHeight="1">
      <c r="A171" s="61" t="s">
        <v>114</v>
      </c>
      <c r="B171" s="2"/>
      <c r="C171" s="2"/>
      <c r="D171" s="2"/>
      <c r="E171" s="2"/>
      <c r="F171" s="3"/>
    </row>
    <row r="172" ht="19.5" customHeight="1">
      <c r="A172" s="62"/>
      <c r="B172" s="63" t="s">
        <v>70</v>
      </c>
      <c r="C172" s="42" t="s">
        <v>71</v>
      </c>
      <c r="D172" s="43">
        <v>24.0</v>
      </c>
      <c r="E172" s="44"/>
      <c r="F172" s="62"/>
    </row>
    <row r="173" ht="19.5" customHeight="1">
      <c r="A173" s="62"/>
      <c r="B173" s="63" t="s">
        <v>70</v>
      </c>
      <c r="C173" s="42" t="s">
        <v>90</v>
      </c>
      <c r="D173" s="43">
        <v>46.0</v>
      </c>
      <c r="E173" s="44"/>
      <c r="F173" s="62"/>
    </row>
    <row r="174" ht="19.5" customHeight="1">
      <c r="A174" s="62"/>
      <c r="B174" s="63" t="s">
        <v>70</v>
      </c>
      <c r="C174" s="42" t="s">
        <v>72</v>
      </c>
      <c r="D174" s="43">
        <v>62.0</v>
      </c>
      <c r="E174" s="44"/>
      <c r="F174" s="62"/>
    </row>
    <row r="175" ht="19.5" customHeight="1">
      <c r="A175" s="62"/>
      <c r="B175" s="63" t="s">
        <v>70</v>
      </c>
      <c r="C175" s="42" t="s">
        <v>92</v>
      </c>
      <c r="D175" s="43">
        <v>11.0</v>
      </c>
      <c r="E175" s="44"/>
      <c r="F175" s="62"/>
    </row>
    <row r="176" ht="21.75" customHeight="1">
      <c r="A176" s="62"/>
      <c r="B176" s="64" t="s">
        <v>76</v>
      </c>
      <c r="C176" s="26"/>
      <c r="D176" s="65">
        <f>D172+D173+D174+D175</f>
        <v>143</v>
      </c>
      <c r="E176" s="66" t="s">
        <v>77</v>
      </c>
      <c r="F176" s="62"/>
    </row>
    <row r="177" ht="6.0" customHeight="1">
      <c r="A177" s="48"/>
      <c r="B177" s="48"/>
      <c r="C177" s="48"/>
      <c r="D177" s="48"/>
      <c r="E177" s="48"/>
      <c r="F177" s="48"/>
    </row>
    <row r="178" ht="24.0" customHeight="1">
      <c r="A178" s="61" t="s">
        <v>115</v>
      </c>
      <c r="B178" s="2"/>
      <c r="C178" s="2"/>
      <c r="D178" s="2"/>
      <c r="E178" s="2"/>
      <c r="F178" s="3"/>
    </row>
    <row r="179" ht="19.5" customHeight="1">
      <c r="A179" s="62"/>
      <c r="B179" s="63" t="s">
        <v>70</v>
      </c>
      <c r="C179" s="42" t="s">
        <v>71</v>
      </c>
      <c r="D179" s="43">
        <v>24.0</v>
      </c>
      <c r="E179" s="44"/>
      <c r="F179" s="62"/>
    </row>
    <row r="180" ht="19.5" customHeight="1">
      <c r="A180" s="62"/>
      <c r="B180" s="63" t="s">
        <v>70</v>
      </c>
      <c r="C180" s="42" t="s">
        <v>99</v>
      </c>
      <c r="D180" s="43">
        <v>25.0</v>
      </c>
      <c r="E180" s="44"/>
      <c r="F180" s="62"/>
    </row>
    <row r="181" ht="19.5" customHeight="1">
      <c r="A181" s="62"/>
      <c r="B181" s="63" t="s">
        <v>70</v>
      </c>
      <c r="C181" s="42" t="s">
        <v>72</v>
      </c>
      <c r="D181" s="43">
        <v>62.0</v>
      </c>
      <c r="E181" s="44"/>
      <c r="F181" s="62"/>
    </row>
    <row r="182" ht="19.5" customHeight="1">
      <c r="A182" s="62"/>
      <c r="B182" s="63" t="s">
        <v>70</v>
      </c>
      <c r="C182" s="42" t="s">
        <v>73</v>
      </c>
      <c r="D182" s="43">
        <v>18.0</v>
      </c>
      <c r="E182" s="44"/>
      <c r="F182" s="62"/>
    </row>
    <row r="183" ht="19.5" customHeight="1">
      <c r="A183" s="62"/>
      <c r="B183" s="63" t="s">
        <v>70</v>
      </c>
      <c r="C183" s="42" t="s">
        <v>74</v>
      </c>
      <c r="D183" s="43">
        <v>20.0</v>
      </c>
      <c r="E183" s="44"/>
      <c r="F183" s="62"/>
    </row>
    <row r="184" ht="21.75" customHeight="1">
      <c r="A184" s="62"/>
      <c r="B184" s="64" t="s">
        <v>76</v>
      </c>
      <c r="C184" s="26"/>
      <c r="D184" s="65">
        <f>D179+D180+D181+D182+D183</f>
        <v>149</v>
      </c>
      <c r="E184" s="66" t="s">
        <v>77</v>
      </c>
      <c r="F184" s="62"/>
    </row>
    <row r="185" ht="6.0" customHeight="1">
      <c r="A185" s="48"/>
      <c r="B185" s="48"/>
      <c r="C185" s="48"/>
      <c r="D185" s="48"/>
      <c r="E185" s="48"/>
      <c r="F185" s="48"/>
    </row>
    <row r="186" ht="24.0" customHeight="1">
      <c r="A186" s="61" t="s">
        <v>116</v>
      </c>
      <c r="B186" s="2"/>
      <c r="C186" s="2"/>
      <c r="D186" s="2"/>
      <c r="E186" s="2"/>
      <c r="F186" s="3"/>
    </row>
    <row r="187" ht="19.5" customHeight="1">
      <c r="A187" s="62"/>
      <c r="B187" s="63" t="s">
        <v>70</v>
      </c>
      <c r="C187" s="42" t="s">
        <v>71</v>
      </c>
      <c r="D187" s="43">
        <v>24.0</v>
      </c>
      <c r="E187" s="44"/>
      <c r="F187" s="62"/>
    </row>
    <row r="188" ht="19.5" customHeight="1">
      <c r="A188" s="62"/>
      <c r="B188" s="63" t="s">
        <v>70</v>
      </c>
      <c r="C188" s="42" t="s">
        <v>86</v>
      </c>
      <c r="D188" s="43">
        <v>32.0</v>
      </c>
      <c r="E188" s="44"/>
      <c r="F188" s="62"/>
    </row>
    <row r="189" ht="19.5" customHeight="1">
      <c r="A189" s="62"/>
      <c r="B189" s="63" t="s">
        <v>70</v>
      </c>
      <c r="C189" s="42" t="s">
        <v>72</v>
      </c>
      <c r="D189" s="43">
        <v>62.0</v>
      </c>
      <c r="E189" s="44"/>
      <c r="F189" s="62"/>
    </row>
    <row r="190" ht="19.5" customHeight="1">
      <c r="A190" s="62"/>
      <c r="B190" s="63" t="s">
        <v>70</v>
      </c>
      <c r="C190" s="42" t="s">
        <v>87</v>
      </c>
      <c r="D190" s="43">
        <v>12.0</v>
      </c>
      <c r="E190" s="44"/>
      <c r="F190" s="62"/>
    </row>
    <row r="191" ht="19.5" customHeight="1">
      <c r="A191" s="62"/>
      <c r="B191" s="63" t="s">
        <v>70</v>
      </c>
      <c r="C191" s="42" t="s">
        <v>92</v>
      </c>
      <c r="D191" s="43">
        <v>11.0</v>
      </c>
      <c r="E191" s="44"/>
      <c r="F191" s="62"/>
    </row>
    <row r="192" ht="21.75" customHeight="1">
      <c r="A192" s="62"/>
      <c r="B192" s="64" t="s">
        <v>76</v>
      </c>
      <c r="C192" s="26"/>
      <c r="D192" s="65">
        <f>D187+D188+D189+D190+D191</f>
        <v>141</v>
      </c>
      <c r="E192" s="66" t="s">
        <v>77</v>
      </c>
      <c r="F192" s="62"/>
    </row>
    <row r="193" ht="6.0" customHeight="1">
      <c r="A193" s="48"/>
      <c r="B193" s="48"/>
      <c r="C193" s="48"/>
      <c r="D193" s="48"/>
      <c r="E193" s="48"/>
      <c r="F193" s="48"/>
    </row>
    <row r="194" ht="24.0" customHeight="1">
      <c r="A194" s="61" t="s">
        <v>117</v>
      </c>
      <c r="B194" s="2"/>
      <c r="C194" s="2"/>
      <c r="D194" s="2"/>
      <c r="E194" s="2"/>
      <c r="F194" s="3"/>
    </row>
    <row r="195" ht="19.5" customHeight="1">
      <c r="A195" s="62"/>
      <c r="B195" s="63" t="s">
        <v>70</v>
      </c>
      <c r="C195" s="42" t="s">
        <v>71</v>
      </c>
      <c r="D195" s="43">
        <v>24.0</v>
      </c>
      <c r="E195" s="44"/>
      <c r="F195" s="62"/>
    </row>
    <row r="196" ht="19.5" customHeight="1">
      <c r="A196" s="62"/>
      <c r="B196" s="63" t="s">
        <v>70</v>
      </c>
      <c r="C196" s="42" t="s">
        <v>83</v>
      </c>
      <c r="D196" s="43">
        <v>44.0</v>
      </c>
      <c r="E196" s="44"/>
      <c r="F196" s="62"/>
    </row>
    <row r="197" ht="19.5" customHeight="1">
      <c r="A197" s="62"/>
      <c r="B197" s="63" t="s">
        <v>70</v>
      </c>
      <c r="C197" s="42" t="s">
        <v>73</v>
      </c>
      <c r="D197" s="43">
        <v>18.0</v>
      </c>
      <c r="E197" s="44"/>
      <c r="F197" s="62"/>
    </row>
    <row r="198" ht="19.5" customHeight="1">
      <c r="A198" s="62"/>
      <c r="B198" s="63" t="s">
        <v>70</v>
      </c>
      <c r="C198" s="42" t="s">
        <v>80</v>
      </c>
      <c r="D198" s="43">
        <v>22.0</v>
      </c>
      <c r="E198" s="44"/>
      <c r="F198" s="62"/>
    </row>
    <row r="199" ht="19.5" customHeight="1">
      <c r="A199" s="62"/>
      <c r="B199" s="63" t="s">
        <v>70</v>
      </c>
      <c r="C199" s="42" t="s">
        <v>74</v>
      </c>
      <c r="D199" s="43">
        <v>20.0</v>
      </c>
      <c r="E199" s="44"/>
      <c r="F199" s="62"/>
    </row>
    <row r="200" ht="19.5" customHeight="1">
      <c r="A200" s="62"/>
      <c r="B200" s="63" t="s">
        <v>70</v>
      </c>
      <c r="C200" s="42" t="s">
        <v>96</v>
      </c>
      <c r="D200" s="43">
        <v>14.0</v>
      </c>
      <c r="E200" s="44"/>
      <c r="F200" s="62"/>
    </row>
    <row r="201" ht="21.75" customHeight="1">
      <c r="A201" s="62"/>
      <c r="B201" s="64" t="s">
        <v>76</v>
      </c>
      <c r="C201" s="26"/>
      <c r="D201" s="65">
        <f>D195+D196+D197+D198+D199+D200</f>
        <v>142</v>
      </c>
      <c r="E201" s="66" t="s">
        <v>77</v>
      </c>
      <c r="F201" s="62"/>
    </row>
    <row r="202" ht="6.0" customHeight="1">
      <c r="A202" s="48"/>
      <c r="B202" s="48"/>
      <c r="C202" s="48"/>
      <c r="D202" s="48"/>
      <c r="E202" s="48"/>
      <c r="F202" s="48"/>
    </row>
    <row r="203" ht="24.0" customHeight="1">
      <c r="A203" s="61" t="s">
        <v>118</v>
      </c>
      <c r="B203" s="2"/>
      <c r="C203" s="2"/>
      <c r="D203" s="2"/>
      <c r="E203" s="2"/>
      <c r="F203" s="3"/>
    </row>
    <row r="204" ht="19.5" customHeight="1">
      <c r="A204" s="62"/>
      <c r="B204" s="63" t="s">
        <v>70</v>
      </c>
      <c r="C204" s="42" t="s">
        <v>71</v>
      </c>
      <c r="D204" s="43">
        <v>24.0</v>
      </c>
      <c r="E204" s="44"/>
      <c r="F204" s="62"/>
    </row>
    <row r="205" ht="19.5" customHeight="1">
      <c r="A205" s="62"/>
      <c r="B205" s="63" t="s">
        <v>70</v>
      </c>
      <c r="C205" s="42" t="s">
        <v>90</v>
      </c>
      <c r="D205" s="43">
        <v>46.0</v>
      </c>
      <c r="E205" s="44"/>
      <c r="F205" s="62"/>
    </row>
    <row r="206" ht="19.5" customHeight="1">
      <c r="A206" s="62"/>
      <c r="B206" s="63" t="s">
        <v>70</v>
      </c>
      <c r="C206" s="42" t="s">
        <v>73</v>
      </c>
      <c r="D206" s="43">
        <v>18.0</v>
      </c>
      <c r="E206" s="44"/>
      <c r="F206" s="62"/>
    </row>
    <row r="207" ht="19.5" customHeight="1">
      <c r="A207" s="62"/>
      <c r="B207" s="63" t="s">
        <v>70</v>
      </c>
      <c r="C207" s="42" t="s">
        <v>74</v>
      </c>
      <c r="D207" s="43">
        <v>20.0</v>
      </c>
      <c r="E207" s="44"/>
      <c r="F207" s="62"/>
    </row>
    <row r="208" ht="19.5" customHeight="1">
      <c r="A208" s="62"/>
      <c r="B208" s="63" t="s">
        <v>70</v>
      </c>
      <c r="C208" s="42" t="s">
        <v>80</v>
      </c>
      <c r="D208" s="43">
        <v>22.0</v>
      </c>
      <c r="E208" s="44"/>
      <c r="F208" s="62"/>
    </row>
    <row r="209" ht="19.5" customHeight="1">
      <c r="A209" s="62"/>
      <c r="B209" s="63" t="s">
        <v>70</v>
      </c>
      <c r="C209" s="42" t="s">
        <v>106</v>
      </c>
      <c r="D209" s="43">
        <v>9.0</v>
      </c>
      <c r="E209" s="44"/>
      <c r="F209" s="62"/>
    </row>
    <row r="210" ht="21.75" customHeight="1">
      <c r="A210" s="62"/>
      <c r="B210" s="64" t="s">
        <v>76</v>
      </c>
      <c r="C210" s="26"/>
      <c r="D210" s="65">
        <f>D204+D205+D206+D207+D208+D209</f>
        <v>139</v>
      </c>
      <c r="E210" s="66" t="s">
        <v>77</v>
      </c>
      <c r="F210" s="62"/>
    </row>
    <row r="211" ht="6.0" customHeight="1">
      <c r="A211" s="48"/>
      <c r="B211" s="48"/>
      <c r="C211" s="48"/>
      <c r="D211" s="48"/>
      <c r="E211" s="48"/>
      <c r="F211" s="48"/>
    </row>
    <row r="212" ht="24.0" customHeight="1">
      <c r="A212" s="61" t="s">
        <v>119</v>
      </c>
      <c r="B212" s="2"/>
      <c r="C212" s="2"/>
      <c r="D212" s="2"/>
      <c r="E212" s="2"/>
      <c r="F212" s="3"/>
    </row>
    <row r="213" ht="19.5" customHeight="1">
      <c r="A213" s="62"/>
      <c r="B213" s="63" t="s">
        <v>70</v>
      </c>
      <c r="C213" s="42" t="s">
        <v>71</v>
      </c>
      <c r="D213" s="43">
        <v>24.0</v>
      </c>
      <c r="E213" s="44"/>
      <c r="F213" s="62"/>
    </row>
    <row r="214" ht="19.5" customHeight="1">
      <c r="A214" s="62"/>
      <c r="B214" s="63" t="s">
        <v>70</v>
      </c>
      <c r="C214" s="42" t="s">
        <v>72</v>
      </c>
      <c r="D214" s="43">
        <v>62.0</v>
      </c>
      <c r="E214" s="44"/>
      <c r="F214" s="62"/>
    </row>
    <row r="215" ht="19.5" customHeight="1">
      <c r="A215" s="62"/>
      <c r="B215" s="63" t="s">
        <v>70</v>
      </c>
      <c r="C215" s="42" t="s">
        <v>83</v>
      </c>
      <c r="D215" s="43">
        <v>44.0</v>
      </c>
      <c r="E215" s="44"/>
      <c r="F215" s="62"/>
    </row>
    <row r="216" ht="19.5" customHeight="1">
      <c r="A216" s="62"/>
      <c r="B216" s="63" t="s">
        <v>70</v>
      </c>
      <c r="C216" s="42" t="s">
        <v>92</v>
      </c>
      <c r="D216" s="43">
        <v>11.0</v>
      </c>
      <c r="E216" s="44"/>
      <c r="F216" s="62"/>
    </row>
    <row r="217" ht="21.75" customHeight="1">
      <c r="A217" s="62"/>
      <c r="B217" s="64" t="s">
        <v>76</v>
      </c>
      <c r="C217" s="26"/>
      <c r="D217" s="65">
        <f>D213+D214+D215+D216</f>
        <v>141</v>
      </c>
      <c r="E217" s="66" t="s">
        <v>77</v>
      </c>
      <c r="F217" s="62"/>
    </row>
    <row r="218" ht="6.0" customHeight="1">
      <c r="A218" s="48"/>
      <c r="B218" s="48"/>
      <c r="C218" s="48"/>
      <c r="D218" s="48"/>
      <c r="E218" s="48"/>
      <c r="F218" s="48"/>
    </row>
    <row r="219" ht="24.0" customHeight="1">
      <c r="A219" s="61" t="s">
        <v>120</v>
      </c>
      <c r="B219" s="2"/>
      <c r="C219" s="2"/>
      <c r="D219" s="2"/>
      <c r="E219" s="2"/>
      <c r="F219" s="3"/>
    </row>
    <row r="220" ht="19.5" customHeight="1">
      <c r="A220" s="62"/>
      <c r="B220" s="63" t="s">
        <v>70</v>
      </c>
      <c r="C220" s="42" t="s">
        <v>71</v>
      </c>
      <c r="D220" s="43">
        <v>24.0</v>
      </c>
      <c r="E220" s="44"/>
      <c r="F220" s="62"/>
    </row>
    <row r="221" ht="19.5" customHeight="1">
      <c r="A221" s="62"/>
      <c r="B221" s="63" t="s">
        <v>70</v>
      </c>
      <c r="C221" s="42" t="s">
        <v>109</v>
      </c>
      <c r="D221" s="43">
        <v>48.0</v>
      </c>
      <c r="E221" s="44"/>
      <c r="F221" s="62"/>
    </row>
    <row r="222" ht="19.5" customHeight="1">
      <c r="A222" s="62"/>
      <c r="B222" s="63" t="s">
        <v>70</v>
      </c>
      <c r="C222" s="42" t="s">
        <v>72</v>
      </c>
      <c r="D222" s="43">
        <v>62.0</v>
      </c>
      <c r="E222" s="44"/>
      <c r="F222" s="62"/>
    </row>
    <row r="223" ht="19.5" customHeight="1">
      <c r="A223" s="62"/>
      <c r="B223" s="63" t="s">
        <v>70</v>
      </c>
      <c r="C223" s="42" t="s">
        <v>87</v>
      </c>
      <c r="D223" s="43">
        <v>12.0</v>
      </c>
      <c r="E223" s="44"/>
      <c r="F223" s="62"/>
    </row>
    <row r="224" ht="21.75" customHeight="1">
      <c r="A224" s="62"/>
      <c r="B224" s="64" t="s">
        <v>76</v>
      </c>
      <c r="C224" s="26"/>
      <c r="D224" s="65">
        <f>D220+D221+D222+D223</f>
        <v>146</v>
      </c>
      <c r="E224" s="66" t="s">
        <v>77</v>
      </c>
      <c r="F224" s="62"/>
    </row>
    <row r="225" ht="6.0" customHeight="1">
      <c r="A225" s="48"/>
      <c r="B225" s="48"/>
      <c r="C225" s="48"/>
      <c r="D225" s="48"/>
      <c r="E225" s="48"/>
      <c r="F225" s="48"/>
    </row>
    <row r="226" ht="24.0" customHeight="1">
      <c r="A226" s="61" t="s">
        <v>121</v>
      </c>
      <c r="B226" s="2"/>
      <c r="C226" s="2"/>
      <c r="D226" s="2"/>
      <c r="E226" s="2"/>
      <c r="F226" s="3"/>
    </row>
    <row r="227" ht="19.5" customHeight="1">
      <c r="A227" s="62"/>
      <c r="B227" s="63" t="s">
        <v>70</v>
      </c>
      <c r="C227" s="42" t="s">
        <v>71</v>
      </c>
      <c r="D227" s="43">
        <v>24.0</v>
      </c>
      <c r="E227" s="44"/>
      <c r="F227" s="62"/>
    </row>
    <row r="228" ht="19.5" customHeight="1">
      <c r="A228" s="62"/>
      <c r="B228" s="63" t="s">
        <v>70</v>
      </c>
      <c r="C228" s="42" t="s">
        <v>83</v>
      </c>
      <c r="D228" s="43">
        <v>44.0</v>
      </c>
      <c r="E228" s="44"/>
      <c r="F228" s="62"/>
    </row>
    <row r="229" ht="19.5" customHeight="1">
      <c r="A229" s="62"/>
      <c r="B229" s="63" t="s">
        <v>70</v>
      </c>
      <c r="C229" s="42" t="s">
        <v>79</v>
      </c>
      <c r="D229" s="43">
        <v>24.0</v>
      </c>
      <c r="E229" s="44"/>
      <c r="F229" s="62"/>
    </row>
    <row r="230" ht="19.5" customHeight="1">
      <c r="A230" s="62"/>
      <c r="B230" s="63" t="s">
        <v>70</v>
      </c>
      <c r="C230" s="42" t="s">
        <v>74</v>
      </c>
      <c r="D230" s="43">
        <v>20.0</v>
      </c>
      <c r="E230" s="44"/>
      <c r="F230" s="62"/>
    </row>
    <row r="231" ht="19.5" customHeight="1">
      <c r="A231" s="62"/>
      <c r="B231" s="63" t="s">
        <v>70</v>
      </c>
      <c r="C231" s="42" t="s">
        <v>80</v>
      </c>
      <c r="D231" s="43">
        <v>22.0</v>
      </c>
      <c r="E231" s="44"/>
      <c r="F231" s="62"/>
    </row>
    <row r="232" ht="19.5" customHeight="1">
      <c r="A232" s="62"/>
      <c r="B232" s="63" t="s">
        <v>70</v>
      </c>
      <c r="C232" s="42" t="s">
        <v>81</v>
      </c>
      <c r="D232" s="43">
        <v>7.0</v>
      </c>
      <c r="E232" s="44"/>
      <c r="F232" s="62"/>
    </row>
    <row r="233" ht="21.75" customHeight="1">
      <c r="A233" s="62"/>
      <c r="B233" s="64" t="s">
        <v>76</v>
      </c>
      <c r="C233" s="26"/>
      <c r="D233" s="65">
        <f>D227+D228+D229+D230+D231+D232</f>
        <v>141</v>
      </c>
      <c r="E233" s="66" t="s">
        <v>77</v>
      </c>
      <c r="F233" s="62"/>
    </row>
    <row r="234" ht="6.0" customHeight="1">
      <c r="A234" s="48"/>
      <c r="B234" s="48"/>
      <c r="C234" s="48"/>
      <c r="D234" s="48"/>
      <c r="E234" s="48"/>
      <c r="F234" s="48"/>
    </row>
    <row r="235" ht="24.0" customHeight="1">
      <c r="A235" s="61" t="s">
        <v>122</v>
      </c>
      <c r="B235" s="2"/>
      <c r="C235" s="2"/>
      <c r="D235" s="2"/>
      <c r="E235" s="2"/>
      <c r="F235" s="3"/>
    </row>
    <row r="236" ht="19.5" customHeight="1">
      <c r="A236" s="62"/>
      <c r="B236" s="63" t="s">
        <v>70</v>
      </c>
      <c r="C236" s="42" t="s">
        <v>71</v>
      </c>
      <c r="D236" s="43">
        <v>24.0</v>
      </c>
      <c r="E236" s="44"/>
      <c r="F236" s="62"/>
    </row>
    <row r="237" ht="19.5" customHeight="1">
      <c r="A237" s="62"/>
      <c r="B237" s="63" t="s">
        <v>70</v>
      </c>
      <c r="C237" s="42" t="s">
        <v>72</v>
      </c>
      <c r="D237" s="43">
        <v>62.0</v>
      </c>
      <c r="E237" s="44"/>
      <c r="F237" s="62"/>
    </row>
    <row r="238" ht="19.5" customHeight="1">
      <c r="A238" s="62"/>
      <c r="B238" s="63" t="s">
        <v>70</v>
      </c>
      <c r="C238" s="42" t="s">
        <v>73</v>
      </c>
      <c r="D238" s="43">
        <v>18.0</v>
      </c>
      <c r="E238" s="44"/>
      <c r="F238" s="62"/>
    </row>
    <row r="239" ht="19.5" customHeight="1">
      <c r="A239" s="62"/>
      <c r="B239" s="63" t="s">
        <v>70</v>
      </c>
      <c r="C239" s="42" t="s">
        <v>80</v>
      </c>
      <c r="D239" s="43">
        <v>22.0</v>
      </c>
      <c r="E239" s="44"/>
      <c r="F239" s="62"/>
    </row>
    <row r="240" ht="19.5" customHeight="1">
      <c r="A240" s="62"/>
      <c r="B240" s="63" t="s">
        <v>70</v>
      </c>
      <c r="C240" s="42" t="s">
        <v>74</v>
      </c>
      <c r="D240" s="43">
        <v>20.0</v>
      </c>
      <c r="E240" s="44"/>
      <c r="F240" s="62"/>
    </row>
    <row r="241" ht="21.75" customHeight="1">
      <c r="A241" s="62"/>
      <c r="B241" s="64" t="s">
        <v>76</v>
      </c>
      <c r="C241" s="26"/>
      <c r="D241" s="65">
        <f>D236+D237+D238+D239+D240</f>
        <v>146</v>
      </c>
      <c r="E241" s="66" t="s">
        <v>77</v>
      </c>
      <c r="F241" s="62"/>
    </row>
    <row r="242" ht="6.0" customHeight="1">
      <c r="A242" s="48"/>
      <c r="B242" s="48"/>
      <c r="C242" s="48"/>
      <c r="D242" s="48"/>
      <c r="E242" s="48"/>
      <c r="F242" s="48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B169:C169"/>
    <mergeCell ref="A171:F171"/>
    <mergeCell ref="B176:C176"/>
    <mergeCell ref="A178:F178"/>
    <mergeCell ref="B184:C184"/>
    <mergeCell ref="A186:F186"/>
    <mergeCell ref="A194:F194"/>
    <mergeCell ref="B192:C192"/>
    <mergeCell ref="B201:C201"/>
    <mergeCell ref="A203:F203"/>
    <mergeCell ref="B210:C210"/>
    <mergeCell ref="A212:F212"/>
    <mergeCell ref="B217:C217"/>
    <mergeCell ref="A219:F219"/>
    <mergeCell ref="A36:F36"/>
    <mergeCell ref="A44:F44"/>
    <mergeCell ref="A51:F51"/>
    <mergeCell ref="A58:F58"/>
    <mergeCell ref="A66:F66"/>
    <mergeCell ref="A75:F75"/>
    <mergeCell ref="A82:F82"/>
    <mergeCell ref="A1:F1"/>
    <mergeCell ref="A3:F3"/>
    <mergeCell ref="B9:C9"/>
    <mergeCell ref="A11:F11"/>
    <mergeCell ref="B17:C17"/>
    <mergeCell ref="A19:F19"/>
    <mergeCell ref="A28:F28"/>
    <mergeCell ref="B26:C26"/>
    <mergeCell ref="B34:C34"/>
    <mergeCell ref="B42:C42"/>
    <mergeCell ref="B49:C49"/>
    <mergeCell ref="B56:C56"/>
    <mergeCell ref="B64:C64"/>
    <mergeCell ref="B73:C73"/>
    <mergeCell ref="B80:C80"/>
    <mergeCell ref="B88:C88"/>
    <mergeCell ref="A90:F90"/>
    <mergeCell ref="B95:C95"/>
    <mergeCell ref="A97:F97"/>
    <mergeCell ref="B104:C104"/>
    <mergeCell ref="A106:F106"/>
    <mergeCell ref="B112:C112"/>
    <mergeCell ref="A114:F114"/>
    <mergeCell ref="B119:C119"/>
    <mergeCell ref="A121:F121"/>
    <mergeCell ref="B128:C128"/>
    <mergeCell ref="A130:F130"/>
    <mergeCell ref="A138:F138"/>
    <mergeCell ref="B136:C136"/>
    <mergeCell ref="B145:C145"/>
    <mergeCell ref="A147:F147"/>
    <mergeCell ref="B152:C152"/>
    <mergeCell ref="A154:F154"/>
    <mergeCell ref="B161:C161"/>
    <mergeCell ref="A163:F163"/>
    <mergeCell ref="B224:C224"/>
    <mergeCell ref="A226:F226"/>
    <mergeCell ref="B233:C233"/>
    <mergeCell ref="A235:F235"/>
    <mergeCell ref="B241:C241"/>
  </mergeCells>
  <conditionalFormatting sqref="B4:E4">
    <cfRule type="expression" dxfId="0" priority="1">
      <formula>$B4="✓"</formula>
    </cfRule>
  </conditionalFormatting>
  <conditionalFormatting sqref="B5:E5">
    <cfRule type="expression" dxfId="0" priority="2">
      <formula>$B5="✓"</formula>
    </cfRule>
  </conditionalFormatting>
  <conditionalFormatting sqref="B6:E6">
    <cfRule type="expression" dxfId="0" priority="3">
      <formula>$B6="✓"</formula>
    </cfRule>
  </conditionalFormatting>
  <conditionalFormatting sqref="B7:E7">
    <cfRule type="expression" dxfId="0" priority="4">
      <formula>$B7="✓"</formula>
    </cfRule>
  </conditionalFormatting>
  <conditionalFormatting sqref="B8:E8">
    <cfRule type="expression" dxfId="0" priority="5">
      <formula>$B8="✓"</formula>
    </cfRule>
  </conditionalFormatting>
  <conditionalFormatting sqref="B12:E12">
    <cfRule type="expression" dxfId="0" priority="6">
      <formula>$B12="✓"</formula>
    </cfRule>
  </conditionalFormatting>
  <conditionalFormatting sqref="B13:E13">
    <cfRule type="expression" dxfId="0" priority="7">
      <formula>$B13="✓"</formula>
    </cfRule>
  </conditionalFormatting>
  <conditionalFormatting sqref="B14:E14">
    <cfRule type="expression" dxfId="0" priority="8">
      <formula>$B14="✓"</formula>
    </cfRule>
  </conditionalFormatting>
  <conditionalFormatting sqref="B15:E15">
    <cfRule type="expression" dxfId="0" priority="9">
      <formula>$B15="✓"</formula>
    </cfRule>
  </conditionalFormatting>
  <conditionalFormatting sqref="B16:E16">
    <cfRule type="expression" dxfId="0" priority="10">
      <formula>$B16="✓"</formula>
    </cfRule>
  </conditionalFormatting>
  <conditionalFormatting sqref="B20:E20">
    <cfRule type="expression" dxfId="0" priority="11">
      <formula>$B20="✓"</formula>
    </cfRule>
  </conditionalFormatting>
  <conditionalFormatting sqref="B21:E21">
    <cfRule type="expression" dxfId="0" priority="12">
      <formula>$B21="✓"</formula>
    </cfRule>
  </conditionalFormatting>
  <conditionalFormatting sqref="B22:E22">
    <cfRule type="expression" dxfId="0" priority="13">
      <formula>$B22="✓"</formula>
    </cfRule>
  </conditionalFormatting>
  <conditionalFormatting sqref="B23:E23">
    <cfRule type="expression" dxfId="0" priority="14">
      <formula>$B23="✓"</formula>
    </cfRule>
  </conditionalFormatting>
  <conditionalFormatting sqref="B24:E24">
    <cfRule type="expression" dxfId="0" priority="15">
      <formula>$B24="✓"</formula>
    </cfRule>
  </conditionalFormatting>
  <conditionalFormatting sqref="B25:E25">
    <cfRule type="expression" dxfId="0" priority="16">
      <formula>$B25="✓"</formula>
    </cfRule>
  </conditionalFormatting>
  <conditionalFormatting sqref="B29:E29">
    <cfRule type="expression" dxfId="0" priority="17">
      <formula>$B29="✓"</formula>
    </cfRule>
  </conditionalFormatting>
  <conditionalFormatting sqref="B30:E30">
    <cfRule type="expression" dxfId="0" priority="18">
      <formula>$B30="✓"</formula>
    </cfRule>
  </conditionalFormatting>
  <conditionalFormatting sqref="B31:E31">
    <cfRule type="expression" dxfId="0" priority="19">
      <formula>$B31="✓"</formula>
    </cfRule>
  </conditionalFormatting>
  <conditionalFormatting sqref="B32:E32">
    <cfRule type="expression" dxfId="0" priority="20">
      <formula>$B32="✓"</formula>
    </cfRule>
  </conditionalFormatting>
  <conditionalFormatting sqref="B33:E33">
    <cfRule type="expression" dxfId="0" priority="21">
      <formula>$B33="✓"</formula>
    </cfRule>
  </conditionalFormatting>
  <conditionalFormatting sqref="B37:E37">
    <cfRule type="expression" dxfId="0" priority="22">
      <formula>$B37="✓"</formula>
    </cfRule>
  </conditionalFormatting>
  <conditionalFormatting sqref="B38:E38">
    <cfRule type="expression" dxfId="0" priority="23">
      <formula>$B38="✓"</formula>
    </cfRule>
  </conditionalFormatting>
  <conditionalFormatting sqref="B39:E39">
    <cfRule type="expression" dxfId="0" priority="24">
      <formula>$B39="✓"</formula>
    </cfRule>
  </conditionalFormatting>
  <conditionalFormatting sqref="B40:E40">
    <cfRule type="expression" dxfId="0" priority="25">
      <formula>$B40="✓"</formula>
    </cfRule>
  </conditionalFormatting>
  <conditionalFormatting sqref="B41:E41">
    <cfRule type="expression" dxfId="0" priority="26">
      <formula>$B41="✓"</formula>
    </cfRule>
  </conditionalFormatting>
  <conditionalFormatting sqref="B45:E45">
    <cfRule type="expression" dxfId="0" priority="27">
      <formula>$B45="✓"</formula>
    </cfRule>
  </conditionalFormatting>
  <conditionalFormatting sqref="B46:E46">
    <cfRule type="expression" dxfId="0" priority="28">
      <formula>$B46="✓"</formula>
    </cfRule>
  </conditionalFormatting>
  <conditionalFormatting sqref="B47:E47">
    <cfRule type="expression" dxfId="0" priority="29">
      <formula>$B47="✓"</formula>
    </cfRule>
  </conditionalFormatting>
  <conditionalFormatting sqref="B48:E48">
    <cfRule type="expression" dxfId="0" priority="30">
      <formula>$B48="✓"</formula>
    </cfRule>
  </conditionalFormatting>
  <conditionalFormatting sqref="B52:E52">
    <cfRule type="expression" dxfId="0" priority="31">
      <formula>$B52="✓"</formula>
    </cfRule>
  </conditionalFormatting>
  <conditionalFormatting sqref="B53:E53">
    <cfRule type="expression" dxfId="0" priority="32">
      <formula>$B53="✓"</formula>
    </cfRule>
  </conditionalFormatting>
  <conditionalFormatting sqref="B54:E54">
    <cfRule type="expression" dxfId="0" priority="33">
      <formula>$B54="✓"</formula>
    </cfRule>
  </conditionalFormatting>
  <conditionalFormatting sqref="B55:E55">
    <cfRule type="expression" dxfId="0" priority="34">
      <formula>$B55="✓"</formula>
    </cfRule>
  </conditionalFormatting>
  <conditionalFormatting sqref="B59:E59">
    <cfRule type="expression" dxfId="0" priority="35">
      <formula>$B59="✓"</formula>
    </cfRule>
  </conditionalFormatting>
  <conditionalFormatting sqref="B60:E60">
    <cfRule type="expression" dxfId="0" priority="36">
      <formula>$B60="✓"</formula>
    </cfRule>
  </conditionalFormatting>
  <conditionalFormatting sqref="B61:E61">
    <cfRule type="expression" dxfId="0" priority="37">
      <formula>$B61="✓"</formula>
    </cfRule>
  </conditionalFormatting>
  <conditionalFormatting sqref="B62:E62">
    <cfRule type="expression" dxfId="0" priority="38">
      <formula>$B62="✓"</formula>
    </cfRule>
  </conditionalFormatting>
  <conditionalFormatting sqref="B63:E63">
    <cfRule type="expression" dxfId="0" priority="39">
      <formula>$B63="✓"</formula>
    </cfRule>
  </conditionalFormatting>
  <conditionalFormatting sqref="B67:E67">
    <cfRule type="expression" dxfId="0" priority="40">
      <formula>$B67="✓"</formula>
    </cfRule>
  </conditionalFormatting>
  <conditionalFormatting sqref="B68:E68">
    <cfRule type="expression" dxfId="0" priority="41">
      <formula>$B68="✓"</formula>
    </cfRule>
  </conditionalFormatting>
  <conditionalFormatting sqref="B69:E69">
    <cfRule type="expression" dxfId="0" priority="42">
      <formula>$B69="✓"</formula>
    </cfRule>
  </conditionalFormatting>
  <conditionalFormatting sqref="B70:E70">
    <cfRule type="expression" dxfId="0" priority="43">
      <formula>$B70="✓"</formula>
    </cfRule>
  </conditionalFormatting>
  <conditionalFormatting sqref="B71:E71">
    <cfRule type="expression" dxfId="0" priority="44">
      <formula>$B71="✓"</formula>
    </cfRule>
  </conditionalFormatting>
  <conditionalFormatting sqref="B72:E72">
    <cfRule type="expression" dxfId="0" priority="45">
      <formula>$B72="✓"</formula>
    </cfRule>
  </conditionalFormatting>
  <conditionalFormatting sqref="B76:E76">
    <cfRule type="expression" dxfId="0" priority="46">
      <formula>$B76="✓"</formula>
    </cfRule>
  </conditionalFormatting>
  <conditionalFormatting sqref="B77:E77">
    <cfRule type="expression" dxfId="0" priority="47">
      <formula>$B77="✓"</formula>
    </cfRule>
  </conditionalFormatting>
  <conditionalFormatting sqref="B78:E78">
    <cfRule type="expression" dxfId="0" priority="48">
      <formula>$B78="✓"</formula>
    </cfRule>
  </conditionalFormatting>
  <conditionalFormatting sqref="B79:E79">
    <cfRule type="expression" dxfId="0" priority="49">
      <formula>$B79="✓"</formula>
    </cfRule>
  </conditionalFormatting>
  <conditionalFormatting sqref="B83:E83">
    <cfRule type="expression" dxfId="0" priority="50">
      <formula>$B83="✓"</formula>
    </cfRule>
  </conditionalFormatting>
  <conditionalFormatting sqref="B84:E84">
    <cfRule type="expression" dxfId="0" priority="51">
      <formula>$B84="✓"</formula>
    </cfRule>
  </conditionalFormatting>
  <conditionalFormatting sqref="B85:E85">
    <cfRule type="expression" dxfId="0" priority="52">
      <formula>$B85="✓"</formula>
    </cfRule>
  </conditionalFormatting>
  <conditionalFormatting sqref="B86:E86">
    <cfRule type="expression" dxfId="0" priority="53">
      <formula>$B86="✓"</formula>
    </cfRule>
  </conditionalFormatting>
  <conditionalFormatting sqref="B87:E87">
    <cfRule type="expression" dxfId="0" priority="54">
      <formula>$B87="✓"</formula>
    </cfRule>
  </conditionalFormatting>
  <conditionalFormatting sqref="B91:E91">
    <cfRule type="expression" dxfId="0" priority="55">
      <formula>$B91="✓"</formula>
    </cfRule>
  </conditionalFormatting>
  <conditionalFormatting sqref="B92:E92">
    <cfRule type="expression" dxfId="0" priority="56">
      <formula>$B92="✓"</formula>
    </cfRule>
  </conditionalFormatting>
  <conditionalFormatting sqref="B93:E93">
    <cfRule type="expression" dxfId="0" priority="57">
      <formula>$B93="✓"</formula>
    </cfRule>
  </conditionalFormatting>
  <conditionalFormatting sqref="B94:E94">
    <cfRule type="expression" dxfId="0" priority="58">
      <formula>$B94="✓"</formula>
    </cfRule>
  </conditionalFormatting>
  <conditionalFormatting sqref="B98:E98">
    <cfRule type="expression" dxfId="0" priority="59">
      <formula>$B98="✓"</formula>
    </cfRule>
  </conditionalFormatting>
  <conditionalFormatting sqref="B99:E99">
    <cfRule type="expression" dxfId="0" priority="60">
      <formula>$B99="✓"</formula>
    </cfRule>
  </conditionalFormatting>
  <conditionalFormatting sqref="B100:E100">
    <cfRule type="expression" dxfId="0" priority="61">
      <formula>$B100="✓"</formula>
    </cfRule>
  </conditionalFormatting>
  <conditionalFormatting sqref="B101:E101">
    <cfRule type="expression" dxfId="0" priority="62">
      <formula>$B101="✓"</formula>
    </cfRule>
  </conditionalFormatting>
  <conditionalFormatting sqref="B102:E102">
    <cfRule type="expression" dxfId="0" priority="63">
      <formula>$B102="✓"</formula>
    </cfRule>
  </conditionalFormatting>
  <conditionalFormatting sqref="B103:E103">
    <cfRule type="expression" dxfId="0" priority="64">
      <formula>$B103="✓"</formula>
    </cfRule>
  </conditionalFormatting>
  <conditionalFormatting sqref="B107:E107">
    <cfRule type="expression" dxfId="0" priority="65">
      <formula>$B107="✓"</formula>
    </cfRule>
  </conditionalFormatting>
  <conditionalFormatting sqref="B108:E108">
    <cfRule type="expression" dxfId="0" priority="66">
      <formula>$B108="✓"</formula>
    </cfRule>
  </conditionalFormatting>
  <conditionalFormatting sqref="B109:E109">
    <cfRule type="expression" dxfId="0" priority="67">
      <formula>$B109="✓"</formula>
    </cfRule>
  </conditionalFormatting>
  <conditionalFormatting sqref="B110:E110">
    <cfRule type="expression" dxfId="0" priority="68">
      <formula>$B110="✓"</formula>
    </cfRule>
  </conditionalFormatting>
  <conditionalFormatting sqref="B111:E111">
    <cfRule type="expression" dxfId="0" priority="69">
      <formula>$B111="✓"</formula>
    </cfRule>
  </conditionalFormatting>
  <conditionalFormatting sqref="B115:E115">
    <cfRule type="expression" dxfId="0" priority="70">
      <formula>$B115="✓"</formula>
    </cfRule>
  </conditionalFormatting>
  <conditionalFormatting sqref="B116:E116">
    <cfRule type="expression" dxfId="0" priority="71">
      <formula>$B116="✓"</formula>
    </cfRule>
  </conditionalFormatting>
  <conditionalFormatting sqref="B117:E117">
    <cfRule type="expression" dxfId="0" priority="72">
      <formula>$B117="✓"</formula>
    </cfRule>
  </conditionalFormatting>
  <conditionalFormatting sqref="B118:E118">
    <cfRule type="expression" dxfId="0" priority="73">
      <formula>$B118="✓"</formula>
    </cfRule>
  </conditionalFormatting>
  <conditionalFormatting sqref="B122:E122">
    <cfRule type="expression" dxfId="0" priority="74">
      <formula>$B122="✓"</formula>
    </cfRule>
  </conditionalFormatting>
  <conditionalFormatting sqref="B123:E123">
    <cfRule type="expression" dxfId="0" priority="75">
      <formula>$B123="✓"</formula>
    </cfRule>
  </conditionalFormatting>
  <conditionalFormatting sqref="B124:E124">
    <cfRule type="expression" dxfId="0" priority="76">
      <formula>$B124="✓"</formula>
    </cfRule>
  </conditionalFormatting>
  <conditionalFormatting sqref="B125:E125">
    <cfRule type="expression" dxfId="0" priority="77">
      <formula>$B125="✓"</formula>
    </cfRule>
  </conditionalFormatting>
  <conditionalFormatting sqref="B126:E126">
    <cfRule type="expression" dxfId="0" priority="78">
      <formula>$B126="✓"</formula>
    </cfRule>
  </conditionalFormatting>
  <conditionalFormatting sqref="B127:E127">
    <cfRule type="expression" dxfId="0" priority="79">
      <formula>$B127="✓"</formula>
    </cfRule>
  </conditionalFormatting>
  <conditionalFormatting sqref="B131:E131">
    <cfRule type="expression" dxfId="0" priority="80">
      <formula>$B131="✓"</formula>
    </cfRule>
  </conditionalFormatting>
  <conditionalFormatting sqref="B132:E132">
    <cfRule type="expression" dxfId="0" priority="81">
      <formula>$B132="✓"</formula>
    </cfRule>
  </conditionalFormatting>
  <conditionalFormatting sqref="B133:E133">
    <cfRule type="expression" dxfId="0" priority="82">
      <formula>$B133="✓"</formula>
    </cfRule>
  </conditionalFormatting>
  <conditionalFormatting sqref="B134:E134">
    <cfRule type="expression" dxfId="0" priority="83">
      <formula>$B134="✓"</formula>
    </cfRule>
  </conditionalFormatting>
  <conditionalFormatting sqref="B135:E135">
    <cfRule type="expression" dxfId="0" priority="84">
      <formula>$B135="✓"</formula>
    </cfRule>
  </conditionalFormatting>
  <conditionalFormatting sqref="B139:E139">
    <cfRule type="expression" dxfId="0" priority="85">
      <formula>$B139="✓"</formula>
    </cfRule>
  </conditionalFormatting>
  <conditionalFormatting sqref="B140:E140">
    <cfRule type="expression" dxfId="0" priority="86">
      <formula>$B140="✓"</formula>
    </cfRule>
  </conditionalFormatting>
  <conditionalFormatting sqref="B141:E141">
    <cfRule type="expression" dxfId="0" priority="87">
      <formula>$B141="✓"</formula>
    </cfRule>
  </conditionalFormatting>
  <conditionalFormatting sqref="B142:E142">
    <cfRule type="expression" dxfId="0" priority="88">
      <formula>$B142="✓"</formula>
    </cfRule>
  </conditionalFormatting>
  <conditionalFormatting sqref="B143:E143">
    <cfRule type="expression" dxfId="0" priority="89">
      <formula>$B143="✓"</formula>
    </cfRule>
  </conditionalFormatting>
  <conditionalFormatting sqref="B144:E144">
    <cfRule type="expression" dxfId="0" priority="90">
      <formula>$B144="✓"</formula>
    </cfRule>
  </conditionalFormatting>
  <conditionalFormatting sqref="B148:E148">
    <cfRule type="expression" dxfId="0" priority="91">
      <formula>$B148="✓"</formula>
    </cfRule>
  </conditionalFormatting>
  <conditionalFormatting sqref="B149:E149">
    <cfRule type="expression" dxfId="0" priority="92">
      <formula>$B149="✓"</formula>
    </cfRule>
  </conditionalFormatting>
  <conditionalFormatting sqref="B150:E150">
    <cfRule type="expression" dxfId="0" priority="93">
      <formula>$B150="✓"</formula>
    </cfRule>
  </conditionalFormatting>
  <conditionalFormatting sqref="B151:E151">
    <cfRule type="expression" dxfId="0" priority="94">
      <formula>$B151="✓"</formula>
    </cfRule>
  </conditionalFormatting>
  <conditionalFormatting sqref="B155:E155">
    <cfRule type="expression" dxfId="0" priority="95">
      <formula>$B155="✓"</formula>
    </cfRule>
  </conditionalFormatting>
  <conditionalFormatting sqref="B156:E156">
    <cfRule type="expression" dxfId="0" priority="96">
      <formula>$B156="✓"</formula>
    </cfRule>
  </conditionalFormatting>
  <conditionalFormatting sqref="B157:E157">
    <cfRule type="expression" dxfId="0" priority="97">
      <formula>$B157="✓"</formula>
    </cfRule>
  </conditionalFormatting>
  <conditionalFormatting sqref="B158:E158">
    <cfRule type="expression" dxfId="0" priority="98">
      <formula>$B158="✓"</formula>
    </cfRule>
  </conditionalFormatting>
  <conditionalFormatting sqref="B159:E159">
    <cfRule type="expression" dxfId="0" priority="99">
      <formula>$B159="✓"</formula>
    </cfRule>
  </conditionalFormatting>
  <conditionalFormatting sqref="B160:E160">
    <cfRule type="expression" dxfId="0" priority="100">
      <formula>$B160="✓"</formula>
    </cfRule>
  </conditionalFormatting>
  <conditionalFormatting sqref="B164:E164">
    <cfRule type="expression" dxfId="0" priority="101">
      <formula>$B164="✓"</formula>
    </cfRule>
  </conditionalFormatting>
  <conditionalFormatting sqref="B165:E165">
    <cfRule type="expression" dxfId="0" priority="102">
      <formula>$B165="✓"</formula>
    </cfRule>
  </conditionalFormatting>
  <conditionalFormatting sqref="B166:E166">
    <cfRule type="expression" dxfId="0" priority="103">
      <formula>$B166="✓"</formula>
    </cfRule>
  </conditionalFormatting>
  <conditionalFormatting sqref="B167:E167">
    <cfRule type="expression" dxfId="0" priority="104">
      <formula>$B167="✓"</formula>
    </cfRule>
  </conditionalFormatting>
  <conditionalFormatting sqref="B168:E168">
    <cfRule type="expression" dxfId="0" priority="105">
      <formula>$B168="✓"</formula>
    </cfRule>
  </conditionalFormatting>
  <conditionalFormatting sqref="B172:E172">
    <cfRule type="expression" dxfId="0" priority="106">
      <formula>$B172="✓"</formula>
    </cfRule>
  </conditionalFormatting>
  <conditionalFormatting sqref="B173:E173">
    <cfRule type="expression" dxfId="0" priority="107">
      <formula>$B173="✓"</formula>
    </cfRule>
  </conditionalFormatting>
  <conditionalFormatting sqref="B174:E174">
    <cfRule type="expression" dxfId="0" priority="108">
      <formula>$B174="✓"</formula>
    </cfRule>
  </conditionalFormatting>
  <conditionalFormatting sqref="B175:E175">
    <cfRule type="expression" dxfId="0" priority="109">
      <formula>$B175="✓"</formula>
    </cfRule>
  </conditionalFormatting>
  <conditionalFormatting sqref="B179:E179">
    <cfRule type="expression" dxfId="0" priority="110">
      <formula>$B179="✓"</formula>
    </cfRule>
  </conditionalFormatting>
  <conditionalFormatting sqref="B180:E180">
    <cfRule type="expression" dxfId="0" priority="111">
      <formula>$B180="✓"</formula>
    </cfRule>
  </conditionalFormatting>
  <conditionalFormatting sqref="B181:E181">
    <cfRule type="expression" dxfId="0" priority="112">
      <formula>$B181="✓"</formula>
    </cfRule>
  </conditionalFormatting>
  <conditionalFormatting sqref="B182:E182">
    <cfRule type="expression" dxfId="0" priority="113">
      <formula>$B182="✓"</formula>
    </cfRule>
  </conditionalFormatting>
  <conditionalFormatting sqref="B183:E183">
    <cfRule type="expression" dxfId="0" priority="114">
      <formula>$B183="✓"</formula>
    </cfRule>
  </conditionalFormatting>
  <conditionalFormatting sqref="B187:E187">
    <cfRule type="expression" dxfId="0" priority="115">
      <formula>$B187="✓"</formula>
    </cfRule>
  </conditionalFormatting>
  <conditionalFormatting sqref="B188:E188">
    <cfRule type="expression" dxfId="0" priority="116">
      <formula>$B188="✓"</formula>
    </cfRule>
  </conditionalFormatting>
  <conditionalFormatting sqref="B189:E189">
    <cfRule type="expression" dxfId="0" priority="117">
      <formula>$B189="✓"</formula>
    </cfRule>
  </conditionalFormatting>
  <conditionalFormatting sqref="B190:E190">
    <cfRule type="expression" dxfId="0" priority="118">
      <formula>$B190="✓"</formula>
    </cfRule>
  </conditionalFormatting>
  <conditionalFormatting sqref="B191:E191">
    <cfRule type="expression" dxfId="0" priority="119">
      <formula>$B191="✓"</formula>
    </cfRule>
  </conditionalFormatting>
  <conditionalFormatting sqref="B195:E195">
    <cfRule type="expression" dxfId="0" priority="120">
      <formula>$B195="✓"</formula>
    </cfRule>
  </conditionalFormatting>
  <conditionalFormatting sqref="B196:E196">
    <cfRule type="expression" dxfId="0" priority="121">
      <formula>$B196="✓"</formula>
    </cfRule>
  </conditionalFormatting>
  <conditionalFormatting sqref="B197:E197">
    <cfRule type="expression" dxfId="0" priority="122">
      <formula>$B197="✓"</formula>
    </cfRule>
  </conditionalFormatting>
  <conditionalFormatting sqref="B198:E198">
    <cfRule type="expression" dxfId="0" priority="123">
      <formula>$B198="✓"</formula>
    </cfRule>
  </conditionalFormatting>
  <conditionalFormatting sqref="B199:E199">
    <cfRule type="expression" dxfId="0" priority="124">
      <formula>$B199="✓"</formula>
    </cfRule>
  </conditionalFormatting>
  <conditionalFormatting sqref="B200:E200">
    <cfRule type="expression" dxfId="0" priority="125">
      <formula>$B200="✓"</formula>
    </cfRule>
  </conditionalFormatting>
  <conditionalFormatting sqref="B204:E204">
    <cfRule type="expression" dxfId="0" priority="126">
      <formula>$B204="✓"</formula>
    </cfRule>
  </conditionalFormatting>
  <conditionalFormatting sqref="B205:E205">
    <cfRule type="expression" dxfId="0" priority="127">
      <formula>$B205="✓"</formula>
    </cfRule>
  </conditionalFormatting>
  <conditionalFormatting sqref="B206:E206">
    <cfRule type="expression" dxfId="0" priority="128">
      <formula>$B206="✓"</formula>
    </cfRule>
  </conditionalFormatting>
  <conditionalFormatting sqref="B207:E207">
    <cfRule type="expression" dxfId="0" priority="129">
      <formula>$B207="✓"</formula>
    </cfRule>
  </conditionalFormatting>
  <conditionalFormatting sqref="B208:E208">
    <cfRule type="expression" dxfId="0" priority="130">
      <formula>$B208="✓"</formula>
    </cfRule>
  </conditionalFormatting>
  <conditionalFormatting sqref="B209:E209">
    <cfRule type="expression" dxfId="0" priority="131">
      <formula>$B209="✓"</formula>
    </cfRule>
  </conditionalFormatting>
  <conditionalFormatting sqref="B213:E213">
    <cfRule type="expression" dxfId="0" priority="132">
      <formula>$B213="✓"</formula>
    </cfRule>
  </conditionalFormatting>
  <conditionalFormatting sqref="B214:E214">
    <cfRule type="expression" dxfId="0" priority="133">
      <formula>$B214="✓"</formula>
    </cfRule>
  </conditionalFormatting>
  <conditionalFormatting sqref="B215:E215">
    <cfRule type="expression" dxfId="0" priority="134">
      <formula>$B215="✓"</formula>
    </cfRule>
  </conditionalFormatting>
  <conditionalFormatting sqref="B216:E216">
    <cfRule type="expression" dxfId="0" priority="135">
      <formula>$B216="✓"</formula>
    </cfRule>
  </conditionalFormatting>
  <conditionalFormatting sqref="B220:E220">
    <cfRule type="expression" dxfId="0" priority="136">
      <formula>$B220="✓"</formula>
    </cfRule>
  </conditionalFormatting>
  <conditionalFormatting sqref="B221:E221">
    <cfRule type="expression" dxfId="0" priority="137">
      <formula>$B221="✓"</formula>
    </cfRule>
  </conditionalFormatting>
  <conditionalFormatting sqref="B222:E222">
    <cfRule type="expression" dxfId="0" priority="138">
      <formula>$B222="✓"</formula>
    </cfRule>
  </conditionalFormatting>
  <conditionalFormatting sqref="B223:E223">
    <cfRule type="expression" dxfId="0" priority="139">
      <formula>$B223="✓"</formula>
    </cfRule>
  </conditionalFormatting>
  <conditionalFormatting sqref="B227:E227">
    <cfRule type="expression" dxfId="0" priority="140">
      <formula>$B227="✓"</formula>
    </cfRule>
  </conditionalFormatting>
  <conditionalFormatting sqref="B228:E228">
    <cfRule type="expression" dxfId="0" priority="141">
      <formula>$B228="✓"</formula>
    </cfRule>
  </conditionalFormatting>
  <conditionalFormatting sqref="B229:E229">
    <cfRule type="expression" dxfId="0" priority="142">
      <formula>$B229="✓"</formula>
    </cfRule>
  </conditionalFormatting>
  <conditionalFormatting sqref="B230:E230">
    <cfRule type="expression" dxfId="0" priority="143">
      <formula>$B230="✓"</formula>
    </cfRule>
  </conditionalFormatting>
  <conditionalFormatting sqref="B231:E231">
    <cfRule type="expression" dxfId="0" priority="144">
      <formula>$B231="✓"</formula>
    </cfRule>
  </conditionalFormatting>
  <conditionalFormatting sqref="B232:E232">
    <cfRule type="expression" dxfId="0" priority="145">
      <formula>$B232="✓"</formula>
    </cfRule>
  </conditionalFormatting>
  <conditionalFormatting sqref="B236:E236">
    <cfRule type="expression" dxfId="0" priority="146">
      <formula>$B236="✓"</formula>
    </cfRule>
  </conditionalFormatting>
  <conditionalFormatting sqref="B237:E237">
    <cfRule type="expression" dxfId="0" priority="147">
      <formula>$B237="✓"</formula>
    </cfRule>
  </conditionalFormatting>
  <conditionalFormatting sqref="B238:E238">
    <cfRule type="expression" dxfId="0" priority="148">
      <formula>$B238="✓"</formula>
    </cfRule>
  </conditionalFormatting>
  <conditionalFormatting sqref="B239:E239">
    <cfRule type="expression" dxfId="0" priority="149">
      <formula>$B239="✓"</formula>
    </cfRule>
  </conditionalFormatting>
  <conditionalFormatting sqref="B240:E240">
    <cfRule type="expression" dxfId="0" priority="150">
      <formula>$B240="✓"</formula>
    </cfRule>
  </conditionalFormatting>
  <dataValidations>
    <dataValidation type="list" allowBlank="1" sqref="B4:B8 B12:B16 B20:B25 B29:B33 B37:B41 B45:B48 B52:B55 B59:B63 B67:B72 B76:B79 B83:B87 B91:B94 B98:B103 B107:B111 B115:B118 B122:B127 B131:B135 B139:B144 B148:B151 B155:B160 B164:B168 B172:B175 B179:B183 B187:B191 B195:B200 B204:B209 B213:B216 B220:B223 B227:B232 B236:B240">
      <formula1>"☐,✓"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5D04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6.0"/>
    <col customWidth="1" min="3" max="3" width="32.0"/>
    <col customWidth="1" min="4" max="4" width="22.0"/>
    <col customWidth="1" min="5" max="5" width="14.0"/>
    <col customWidth="1" min="6" max="6" width="30.0"/>
    <col customWidth="1" min="7" max="7" width="4.0"/>
    <col customWidth="1" min="8" max="26" width="8.71"/>
  </cols>
  <sheetData>
    <row r="1" ht="42.0" customHeight="1">
      <c r="A1" s="67" t="s">
        <v>123</v>
      </c>
      <c r="B1" s="2"/>
      <c r="C1" s="2"/>
      <c r="D1" s="2"/>
      <c r="E1" s="2"/>
      <c r="F1" s="2"/>
      <c r="G1" s="3"/>
    </row>
    <row r="2" ht="24.0" customHeight="1">
      <c r="A2" s="68" t="s">
        <v>124</v>
      </c>
      <c r="B2" s="2"/>
      <c r="C2" s="2"/>
      <c r="D2" s="2"/>
      <c r="E2" s="2"/>
      <c r="F2" s="2"/>
      <c r="G2" s="3"/>
    </row>
    <row r="3" ht="25.5" customHeight="1">
      <c r="A3" s="38"/>
      <c r="B3" s="38" t="s">
        <v>65</v>
      </c>
      <c r="C3" s="38" t="s">
        <v>125</v>
      </c>
      <c r="D3" s="38" t="s">
        <v>126</v>
      </c>
      <c r="E3" s="38" t="s">
        <v>127</v>
      </c>
      <c r="F3" s="38" t="s">
        <v>128</v>
      </c>
      <c r="G3" s="38"/>
    </row>
    <row r="4" ht="21.75" customHeight="1">
      <c r="A4" s="69" t="s">
        <v>129</v>
      </c>
      <c r="B4" s="25"/>
      <c r="C4" s="25"/>
      <c r="D4" s="25"/>
      <c r="E4" s="25"/>
      <c r="F4" s="25"/>
      <c r="G4" s="26"/>
    </row>
    <row r="5" ht="21.75" customHeight="1">
      <c r="A5" s="48"/>
      <c r="B5" s="70" t="s">
        <v>70</v>
      </c>
      <c r="C5" s="71" t="s">
        <v>130</v>
      </c>
      <c r="D5" s="72" t="s">
        <v>131</v>
      </c>
      <c r="E5" s="72" t="s">
        <v>132</v>
      </c>
      <c r="F5" s="71" t="s">
        <v>133</v>
      </c>
      <c r="G5" s="48"/>
    </row>
    <row r="6" ht="21.75" customHeight="1">
      <c r="A6" s="64" t="s">
        <v>134</v>
      </c>
      <c r="B6" s="25"/>
      <c r="C6" s="25"/>
      <c r="D6" s="25"/>
      <c r="E6" s="25"/>
      <c r="F6" s="25"/>
      <c r="G6" s="26"/>
    </row>
    <row r="7" ht="21.75" customHeight="1">
      <c r="A7" s="48"/>
      <c r="B7" s="70" t="s">
        <v>70</v>
      </c>
      <c r="C7" s="71" t="s">
        <v>135</v>
      </c>
      <c r="D7" s="72" t="s">
        <v>136</v>
      </c>
      <c r="E7" s="72" t="s">
        <v>137</v>
      </c>
      <c r="F7" s="71" t="s">
        <v>138</v>
      </c>
      <c r="G7" s="48"/>
    </row>
    <row r="8" ht="21.75" customHeight="1">
      <c r="A8" s="44"/>
      <c r="B8" s="70" t="s">
        <v>70</v>
      </c>
      <c r="C8" s="73" t="s">
        <v>139</v>
      </c>
      <c r="D8" s="74" t="s">
        <v>140</v>
      </c>
      <c r="E8" s="74" t="s">
        <v>137</v>
      </c>
      <c r="F8" s="73" t="s">
        <v>141</v>
      </c>
      <c r="G8" s="44"/>
    </row>
    <row r="9" ht="21.75" customHeight="1">
      <c r="A9" s="48"/>
      <c r="B9" s="70" t="s">
        <v>70</v>
      </c>
      <c r="C9" s="71" t="s">
        <v>142</v>
      </c>
      <c r="D9" s="72" t="s">
        <v>143</v>
      </c>
      <c r="E9" s="72" t="s">
        <v>144</v>
      </c>
      <c r="F9" s="71" t="s">
        <v>145</v>
      </c>
      <c r="G9" s="48"/>
    </row>
    <row r="10" ht="21.75" customHeight="1">
      <c r="A10" s="45" t="s">
        <v>146</v>
      </c>
      <c r="B10" s="25"/>
      <c r="C10" s="25"/>
      <c r="D10" s="25"/>
      <c r="E10" s="25"/>
      <c r="F10" s="25"/>
      <c r="G10" s="26"/>
    </row>
    <row r="11" ht="21.75" customHeight="1">
      <c r="A11" s="48"/>
      <c r="B11" s="70" t="s">
        <v>70</v>
      </c>
      <c r="C11" s="71" t="s">
        <v>147</v>
      </c>
      <c r="D11" s="72" t="s">
        <v>148</v>
      </c>
      <c r="E11" s="72" t="s">
        <v>149</v>
      </c>
      <c r="F11" s="71" t="s">
        <v>150</v>
      </c>
      <c r="G11" s="48"/>
    </row>
    <row r="12" ht="21.75" customHeight="1">
      <c r="A12" s="44"/>
      <c r="B12" s="70" t="s">
        <v>70</v>
      </c>
      <c r="C12" s="73" t="s">
        <v>151</v>
      </c>
      <c r="D12" s="74" t="s">
        <v>152</v>
      </c>
      <c r="E12" s="74" t="s">
        <v>149</v>
      </c>
      <c r="F12" s="73" t="s">
        <v>153</v>
      </c>
      <c r="G12" s="44"/>
    </row>
    <row r="13" ht="21.75" customHeight="1">
      <c r="A13" s="48"/>
      <c r="B13" s="70" t="s">
        <v>70</v>
      </c>
      <c r="C13" s="71" t="s">
        <v>154</v>
      </c>
      <c r="D13" s="72" t="s">
        <v>155</v>
      </c>
      <c r="E13" s="72" t="s">
        <v>149</v>
      </c>
      <c r="F13" s="71" t="s">
        <v>156</v>
      </c>
      <c r="G13" s="48"/>
    </row>
    <row r="14" ht="21.75" customHeight="1">
      <c r="A14" s="58" t="s">
        <v>157</v>
      </c>
      <c r="B14" s="25"/>
      <c r="C14" s="25"/>
      <c r="D14" s="25"/>
      <c r="E14" s="25"/>
      <c r="F14" s="25"/>
      <c r="G14" s="26"/>
    </row>
    <row r="15" ht="21.75" customHeight="1">
      <c r="A15" s="48"/>
      <c r="B15" s="70" t="s">
        <v>70</v>
      </c>
      <c r="C15" s="71" t="s">
        <v>158</v>
      </c>
      <c r="D15" s="72" t="s">
        <v>159</v>
      </c>
      <c r="E15" s="72" t="s">
        <v>160</v>
      </c>
      <c r="F15" s="71" t="s">
        <v>161</v>
      </c>
      <c r="G15" s="48"/>
    </row>
    <row r="16" ht="21.75" customHeight="1">
      <c r="A16" s="44"/>
      <c r="B16" s="70" t="s">
        <v>70</v>
      </c>
      <c r="C16" s="73" t="s">
        <v>162</v>
      </c>
      <c r="D16" s="74" t="s">
        <v>163</v>
      </c>
      <c r="E16" s="74" t="s">
        <v>137</v>
      </c>
      <c r="F16" s="73" t="s">
        <v>164</v>
      </c>
      <c r="G16" s="44"/>
    </row>
    <row r="17" ht="21.75" customHeight="1">
      <c r="A17" s="48"/>
      <c r="B17" s="70" t="s">
        <v>70</v>
      </c>
      <c r="C17" s="71" t="s">
        <v>165</v>
      </c>
      <c r="D17" s="72" t="s">
        <v>166</v>
      </c>
      <c r="E17" s="72" t="s">
        <v>137</v>
      </c>
      <c r="F17" s="71" t="s">
        <v>167</v>
      </c>
      <c r="G17" s="48"/>
    </row>
    <row r="18" ht="21.75" customHeight="1">
      <c r="A18" s="44"/>
      <c r="B18" s="70" t="s">
        <v>70</v>
      </c>
      <c r="C18" s="73" t="s">
        <v>168</v>
      </c>
      <c r="D18" s="74" t="s">
        <v>169</v>
      </c>
      <c r="E18" s="74" t="s">
        <v>170</v>
      </c>
      <c r="F18" s="73" t="s">
        <v>171</v>
      </c>
      <c r="G18" s="44"/>
    </row>
    <row r="19" ht="21.75" customHeight="1">
      <c r="A19" s="75" t="s">
        <v>172</v>
      </c>
      <c r="B19" s="25"/>
      <c r="C19" s="25"/>
      <c r="D19" s="25"/>
      <c r="E19" s="25"/>
      <c r="F19" s="25"/>
      <c r="G19" s="26"/>
    </row>
    <row r="20" ht="21.75" customHeight="1">
      <c r="A20" s="44"/>
      <c r="B20" s="70" t="s">
        <v>70</v>
      </c>
      <c r="C20" s="73" t="s">
        <v>173</v>
      </c>
      <c r="D20" s="74" t="s">
        <v>174</v>
      </c>
      <c r="E20" s="74" t="s">
        <v>144</v>
      </c>
      <c r="F20" s="73" t="s">
        <v>175</v>
      </c>
      <c r="G20" s="44"/>
    </row>
    <row r="21" ht="15.75" customHeight="1"/>
    <row r="22" ht="27.75" customHeight="1">
      <c r="A22" s="76" t="s">
        <v>176</v>
      </c>
      <c r="B22" s="25"/>
      <c r="C22" s="25"/>
      <c r="D22" s="25"/>
      <c r="E22" s="25"/>
      <c r="F22" s="25"/>
      <c r="G22" s="2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A4:G4"/>
    <mergeCell ref="A6:G6"/>
    <mergeCell ref="A10:G10"/>
    <mergeCell ref="A14:G14"/>
    <mergeCell ref="A19:G19"/>
    <mergeCell ref="A22:G22"/>
  </mergeCells>
  <conditionalFormatting sqref="B5:F5">
    <cfRule type="expression" dxfId="1" priority="1">
      <formula>$B5="✓"</formula>
    </cfRule>
  </conditionalFormatting>
  <conditionalFormatting sqref="B7:F7">
    <cfRule type="expression" dxfId="1" priority="2">
      <formula>$B7="✓"</formula>
    </cfRule>
  </conditionalFormatting>
  <conditionalFormatting sqref="B8:F8">
    <cfRule type="expression" dxfId="1" priority="3">
      <formula>$B8="✓"</formula>
    </cfRule>
  </conditionalFormatting>
  <conditionalFormatting sqref="B9:F9">
    <cfRule type="expression" dxfId="1" priority="4">
      <formula>$B9="✓"</formula>
    </cfRule>
  </conditionalFormatting>
  <conditionalFormatting sqref="B11:F11">
    <cfRule type="expression" dxfId="1" priority="5">
      <formula>$B11="✓"</formula>
    </cfRule>
  </conditionalFormatting>
  <conditionalFormatting sqref="B12:F12">
    <cfRule type="expression" dxfId="1" priority="6">
      <formula>$B12="✓"</formula>
    </cfRule>
  </conditionalFormatting>
  <conditionalFormatting sqref="B13:F13">
    <cfRule type="expression" dxfId="1" priority="7">
      <formula>$B13="✓"</formula>
    </cfRule>
  </conditionalFormatting>
  <conditionalFormatting sqref="B15:F15">
    <cfRule type="expression" dxfId="1" priority="8">
      <formula>$B15="✓"</formula>
    </cfRule>
  </conditionalFormatting>
  <conditionalFormatting sqref="B16:F16">
    <cfRule type="expression" dxfId="1" priority="9">
      <formula>$B16="✓"</formula>
    </cfRule>
  </conditionalFormatting>
  <conditionalFormatting sqref="B17:F17">
    <cfRule type="expression" dxfId="1" priority="10">
      <formula>$B17="✓"</formula>
    </cfRule>
  </conditionalFormatting>
  <conditionalFormatting sqref="B18:F18">
    <cfRule type="expression" dxfId="1" priority="11">
      <formula>$B18="✓"</formula>
    </cfRule>
  </conditionalFormatting>
  <conditionalFormatting sqref="B20:F20">
    <cfRule type="expression" dxfId="1" priority="12">
      <formula>$B20="✓"</formula>
    </cfRule>
  </conditionalFormatting>
  <dataValidations>
    <dataValidation type="list" allowBlank="1" sqref="B5 B7:B9 B11:B13 B15:B18 B20">
      <formula1>"☐,✓"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6" width="15.0"/>
    <col customWidth="1" min="7" max="7" width="4.0"/>
    <col customWidth="1" min="8" max="26" width="8.71"/>
  </cols>
  <sheetData>
    <row r="1" ht="42.0" customHeight="1">
      <c r="A1" s="77" t="s">
        <v>177</v>
      </c>
      <c r="B1" s="2"/>
      <c r="C1" s="2"/>
      <c r="D1" s="2"/>
      <c r="E1" s="2"/>
      <c r="F1" s="2"/>
      <c r="G1" s="3"/>
    </row>
    <row r="2" ht="25.5" customHeight="1">
      <c r="A2" s="38"/>
      <c r="B2" s="38" t="s">
        <v>178</v>
      </c>
      <c r="C2" s="38" t="s">
        <v>67</v>
      </c>
      <c r="D2" s="38" t="s">
        <v>179</v>
      </c>
      <c r="E2" s="38" t="s">
        <v>180</v>
      </c>
      <c r="F2" s="38" t="s">
        <v>181</v>
      </c>
      <c r="G2" s="38"/>
    </row>
    <row r="3" ht="21.75" customHeight="1">
      <c r="A3" s="44"/>
      <c r="B3" s="42" t="s">
        <v>182</v>
      </c>
      <c r="C3" s="43">
        <v>31.0</v>
      </c>
      <c r="D3" s="78">
        <v>165.0</v>
      </c>
      <c r="E3" s="78">
        <v>3.6</v>
      </c>
      <c r="F3" s="78">
        <v>0.0</v>
      </c>
      <c r="G3" s="44"/>
    </row>
    <row r="4" ht="21.75" customHeight="1">
      <c r="A4" s="48"/>
      <c r="B4" s="79" t="s">
        <v>183</v>
      </c>
      <c r="C4" s="80">
        <v>26.0</v>
      </c>
      <c r="D4" s="81">
        <v>218.0</v>
      </c>
      <c r="E4" s="81">
        <v>13.0</v>
      </c>
      <c r="F4" s="81">
        <v>0.0</v>
      </c>
      <c r="G4" s="48"/>
    </row>
    <row r="5" ht="21.75" customHeight="1">
      <c r="A5" s="44"/>
      <c r="B5" s="42" t="s">
        <v>184</v>
      </c>
      <c r="C5" s="43">
        <v>24.0</v>
      </c>
      <c r="D5" s="78">
        <v>99.0</v>
      </c>
      <c r="E5" s="78">
        <v>0.3</v>
      </c>
      <c r="F5" s="78">
        <v>0.2</v>
      </c>
      <c r="G5" s="44"/>
    </row>
    <row r="6" ht="21.75" customHeight="1">
      <c r="A6" s="48"/>
      <c r="B6" s="79" t="s">
        <v>185</v>
      </c>
      <c r="C6" s="80">
        <v>26.0</v>
      </c>
      <c r="D6" s="81">
        <v>116.0</v>
      </c>
      <c r="E6" s="81">
        <v>1.0</v>
      </c>
      <c r="F6" s="81">
        <v>0.0</v>
      </c>
      <c r="G6" s="48"/>
    </row>
    <row r="7" ht="21.75" customHeight="1">
      <c r="A7" s="44"/>
      <c r="B7" s="42" t="s">
        <v>186</v>
      </c>
      <c r="C7" s="43">
        <v>22.0</v>
      </c>
      <c r="D7" s="78">
        <v>153.0</v>
      </c>
      <c r="E7" s="78">
        <v>7.0</v>
      </c>
      <c r="F7" s="78">
        <v>0.0</v>
      </c>
      <c r="G7" s="44"/>
    </row>
    <row r="8" ht="21.75" customHeight="1">
      <c r="A8" s="48"/>
      <c r="B8" s="79" t="s">
        <v>187</v>
      </c>
      <c r="C8" s="80">
        <v>25.0</v>
      </c>
      <c r="D8" s="81">
        <v>208.0</v>
      </c>
      <c r="E8" s="81">
        <v>11.0</v>
      </c>
      <c r="F8" s="81">
        <v>0.0</v>
      </c>
      <c r="G8" s="48"/>
    </row>
    <row r="9" ht="21.75" customHeight="1">
      <c r="A9" s="44"/>
      <c r="B9" s="42" t="s">
        <v>188</v>
      </c>
      <c r="C9" s="43">
        <v>6.0</v>
      </c>
      <c r="D9" s="78">
        <v>78.0</v>
      </c>
      <c r="E9" s="78">
        <v>5.0</v>
      </c>
      <c r="F9" s="78">
        <v>0.6</v>
      </c>
      <c r="G9" s="44"/>
    </row>
    <row r="10" ht="21.75" customHeight="1">
      <c r="A10" s="48"/>
      <c r="B10" s="79" t="s">
        <v>189</v>
      </c>
      <c r="C10" s="80">
        <v>10.0</v>
      </c>
      <c r="D10" s="81">
        <v>59.0</v>
      </c>
      <c r="E10" s="81">
        <v>0.4</v>
      </c>
      <c r="F10" s="81">
        <v>3.6</v>
      </c>
      <c r="G10" s="48"/>
    </row>
    <row r="11" ht="21.75" customHeight="1">
      <c r="A11" s="44"/>
      <c r="B11" s="42" t="s">
        <v>190</v>
      </c>
      <c r="C11" s="43">
        <v>11.0</v>
      </c>
      <c r="D11" s="78">
        <v>98.0</v>
      </c>
      <c r="E11" s="78">
        <v>4.3</v>
      </c>
      <c r="F11" s="78">
        <v>3.4</v>
      </c>
      <c r="G11" s="44"/>
    </row>
    <row r="12" ht="21.75" customHeight="1">
      <c r="A12" s="48"/>
      <c r="B12" s="79" t="s">
        <v>191</v>
      </c>
      <c r="C12" s="80">
        <v>7.0</v>
      </c>
      <c r="D12" s="81">
        <v>80.0</v>
      </c>
      <c r="E12" s="81">
        <v>6.0</v>
      </c>
      <c r="F12" s="81">
        <v>1.0</v>
      </c>
      <c r="G12" s="48"/>
    </row>
    <row r="13" ht="21.75" customHeight="1">
      <c r="A13" s="44"/>
      <c r="B13" s="42" t="s">
        <v>192</v>
      </c>
      <c r="C13" s="43">
        <v>9.0</v>
      </c>
      <c r="D13" s="78">
        <v>107.0</v>
      </c>
      <c r="E13" s="78">
        <v>5.0</v>
      </c>
      <c r="F13" s="78">
        <v>3.0</v>
      </c>
      <c r="G13" s="44"/>
    </row>
    <row r="14" ht="21.75" customHeight="1">
      <c r="A14" s="48"/>
      <c r="B14" s="79" t="s">
        <v>193</v>
      </c>
      <c r="C14" s="80">
        <v>24.0</v>
      </c>
      <c r="D14" s="81">
        <v>120.0</v>
      </c>
      <c r="E14" s="81">
        <v>2.0</v>
      </c>
      <c r="F14" s="81">
        <v>3.0</v>
      </c>
      <c r="G14" s="48"/>
    </row>
    <row r="16" ht="13.5" customHeight="1"/>
    <row r="17" ht="27.75" customHeight="1">
      <c r="A17" s="23" t="s">
        <v>194</v>
      </c>
      <c r="B17" s="2"/>
      <c r="C17" s="2"/>
      <c r="D17" s="2"/>
      <c r="E17" s="2"/>
      <c r="F17" s="2"/>
      <c r="G17" s="3"/>
    </row>
    <row r="18" ht="25.5" customHeight="1">
      <c r="A18" s="40"/>
      <c r="B18" s="82" t="s">
        <v>195</v>
      </c>
      <c r="C18" s="26"/>
      <c r="D18" s="83" t="s">
        <v>196</v>
      </c>
      <c r="E18" s="26"/>
      <c r="F18" s="84" t="s">
        <v>197</v>
      </c>
      <c r="G18" s="26"/>
    </row>
    <row r="19" ht="25.5" customHeight="1">
      <c r="A19" s="50"/>
      <c r="B19" s="85" t="s">
        <v>198</v>
      </c>
      <c r="C19" s="26"/>
      <c r="D19" s="86" t="s">
        <v>199</v>
      </c>
      <c r="E19" s="26"/>
      <c r="F19" s="87" t="s">
        <v>200</v>
      </c>
      <c r="G19" s="26"/>
    </row>
    <row r="20" ht="25.5" customHeight="1">
      <c r="A20" s="56"/>
      <c r="B20" s="88" t="s">
        <v>201</v>
      </c>
      <c r="C20" s="26"/>
      <c r="D20" s="89" t="s">
        <v>202</v>
      </c>
      <c r="E20" s="26"/>
      <c r="F20" s="90" t="s">
        <v>203</v>
      </c>
      <c r="G20" s="26"/>
    </row>
    <row r="21" ht="15.75" customHeight="1"/>
    <row r="22" ht="31.5" customHeight="1">
      <c r="A22" s="91" t="s">
        <v>204</v>
      </c>
      <c r="B22" s="25"/>
      <c r="C22" s="25"/>
      <c r="D22" s="25"/>
      <c r="E22" s="25"/>
      <c r="F22" s="25"/>
      <c r="G22" s="2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9:C19"/>
    <mergeCell ref="B20:C20"/>
    <mergeCell ref="D20:E20"/>
    <mergeCell ref="F20:G20"/>
    <mergeCell ref="A22:G22"/>
    <mergeCell ref="A1:G1"/>
    <mergeCell ref="A17:G17"/>
    <mergeCell ref="B18:C18"/>
    <mergeCell ref="D18:E18"/>
    <mergeCell ref="F18:G18"/>
    <mergeCell ref="D19:E19"/>
    <mergeCell ref="F19:G19"/>
  </mergeCells>
  <printOptions/>
  <pageMargins bottom="1.0" footer="0.0" header="0.0" left="0.75" right="0.75" top="1.0"/>
  <pageSetup paperSize="9" orientation="portrait"/>
  <drawing r:id="rId1"/>
</worksheet>
</file>